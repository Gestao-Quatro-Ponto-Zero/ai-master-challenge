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84df9bcf7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s Scoring" sheetId="1" r:id="R4ebd09bf33a742a9"/>
    <x:sheet xmlns:r="http://schemas.openxmlformats.org/officeDocument/2006/relationships" name="Config" sheetId="2" r:id="Rf03733f7b9604664"/>
    <x:sheet xmlns:r="http://schemas.openxmlformats.org/officeDocument/2006/relationships" name="Dashboard" sheetId="3" r:id="R7e4fff0b58fe44de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4" authorId="0">
      <x:text>
        <x:r>
          <x:t>Campo de entrada editável pelo usuário.</x:t>
        </x:r>
      </x:text>
    </x:comment>
    <x:comment ref="D4" authorId="0">
      <x:text>
        <x:r>
          <x:t>Campo de entrada editável pelo usuário.</x:t>
        </x:r>
      </x:text>
    </x:comment>
    <x:comment ref="E4" authorId="0">
      <x:text>
        <x:r>
          <x:t>Campo de entrada editável pelo usuário.</x:t>
        </x:r>
      </x:text>
    </x:comment>
    <x:comment ref="F4" authorId="0">
      <x:text>
        <x:r>
          <x:t>Campo de entrada editável pelo usuário.</x:t>
        </x:r>
      </x:text>
    </x:comment>
    <x:comment ref="G4" authorId="0">
      <x:text>
        <x:r>
          <x:t>Campo de entrada editável pelo usuário.</x:t>
        </x:r>
      </x:text>
    </x:comment>
    <x:comment ref="O4" authorId="0">
      <x:text>
        <x:r>
          <x:t>Campo calculado automaticamente por fórmula.</x:t>
        </x:r>
      </x:text>
    </x:comment>
    <x:comment ref="P4" authorId="0">
      <x:text>
        <x:r>
          <x:t>Campo calculado automaticamente por fórmula.</x:t>
        </x:r>
      </x:text>
    </x:comment>
    <x:comment ref="Q4" authorId="0">
      <x:text>
        <x:r>
          <x:t>Campo calculado automaticamente por fórmula.</x:t>
        </x:r>
      </x:text>
    </x:comment>
    <x:comment ref="R4" authorId="0">
      <x:text>
        <x:r>
          <x:t>Campo calculado automaticamente por fórmula.</x:t>
        </x:r>
      </x:text>
    </x:comment>
    <x:comment ref="S4" authorId="0">
      <x:text>
        <x:r>
          <x:t>Campo calculado automaticamente por fórmula.</x:t>
        </x:r>
      </x:text>
    </x:comment>
    <x:comment ref="T4" authorId="0">
      <x:text>
        <x:r>
          <x:t>Campo calculado automaticamente por fórmula.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$#,##0;[Red]($#,##0)"/>
    <x:numFmt numFmtId="165" formatCode="0;[Red](0)"/>
    <x:numFmt numFmtId="166" formatCode="0.0%"/>
    <x:numFmt numFmtId="167" formatCode="0.0"/>
  </x:numFmts>
  <x:fonts count="8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000000"/>
    </x:font>
    <x:font>
      <x:color rgb="00666666"/>
    </x:font>
    <x:font>
      <x:color rgb="00800080"/>
    </x:font>
    <x:font>
      <x:i/>
      <x:color rgb="00666666"/>
    </x:font>
    <x:font>
      <x:color rgb="000000FF"/>
    </x:font>
    <x:font>
      <x:color rgb="00000000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ADCF7"/>
      </x:patternFill>
    </x:fill>
    <x:fill>
      <x:patternFill patternType="solid">
        <x:fgColor rgb="00E7E6E6"/>
      </x:patternFill>
    </x:fill>
    <x:fill>
      <x:patternFill patternType="solid">
        <x:fgColor rgb="00D9EAF7"/>
      </x:patternFill>
    </x:fill>
    <x:fill>
      <x:patternFill patternType="solid">
        <x:fgColor rgb="00EAF3FF"/>
      </x:patternFill>
    </x:fill>
    <x:fill>
      <x:patternFill patternType="solid">
        <x:fgColor rgb="00D9E2F3"/>
      </x:patternFill>
    </x:fill>
  </x:fills>
  <x:borders count="3">
    <x:border>
      <x:left/>
      <x:right/>
      <x:top/>
      <x:bottom/>
      <x:diagonal/>
    </x:border>
    <x:border>
      <x:bottom style="thin">
        <x:color rgb="00BFBFBF"/>
      </x:bottom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0" xfId="0" applyAlignment="1">
      <x:alignment horizontal="center" vertical="center"/>
    </x:xf>
    <x:xf numFmtId="0" fontId="5" fillId="0" borderId="0" xfId="0"/>
    <x:xf numFmtId="0" fontId="2" fillId="5" borderId="1" xfId="0" applyAlignment="1">
      <x:alignment horizontal="center" vertical="center" wrapText="1"/>
    </x:xf>
    <x:xf numFmtId="0" fontId="6" fillId="6" borderId="0" xfId="0" applyAlignment="1">
      <x:alignment vertical="center"/>
    </x:xf>
    <x:xf numFmtId="164" fontId="6" fillId="6" borderId="0" xfId="0" applyAlignment="1">
      <x:alignment vertical="center"/>
    </x:xf>
    <x:xf numFmtId="165" fontId="7" fillId="0" borderId="0" xfId="0" applyAlignment="1">
      <x:alignment vertical="center" wrapText="1"/>
    </x:xf>
    <x:xf numFmtId="166" fontId="7" fillId="0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6" fillId="6" borderId="0" xfId="0"/>
    <x:xf numFmtId="164" fontId="6" fillId="6" borderId="0" xfId="0"/>
    <x:xf numFmtId="165" fontId="7" fillId="0" borderId="0" xfId="0" applyAlignment="1">
      <x:alignment wrapText="1"/>
    </x:xf>
    <x:xf numFmtId="166" fontId="7" fillId="0" borderId="0" xfId="0" applyAlignment="1">
      <x:alignment wrapText="1"/>
    </x:xf>
    <x:xf numFmtId="0" fontId="7" fillId="0" borderId="0" xfId="0" applyAlignment="1">
      <x:alignment wrapText="1"/>
    </x:xf>
    <x:xf numFmtId="0" fontId="1" fillId="2" borderId="0" xfId="0" applyAlignment="1">
      <x:alignment horizontal="center"/>
    </x:xf>
    <x:xf numFmtId="0" fontId="2" fillId="3" borderId="0" xfId="0" applyAlignment="1">
      <x:alignment horizontal="center"/>
    </x:xf>
    <x:xf numFmtId="0" fontId="3" fillId="4" borderId="0" xfId="0"/>
    <x:xf numFmtId="0" fontId="4" fillId="3" borderId="0" xfId="0"/>
    <x:xf numFmtId="0" fontId="3" fillId="0" borderId="0" xfId="0" applyAlignment="1">
      <x:alignment wrapText="1"/>
    </x:xf>
    <x:xf numFmtId="165" fontId="4" fillId="3" borderId="0" xfId="0"/>
    <x:xf numFmtId="0" fontId="2" fillId="0" borderId="0" xfId="0"/>
    <x:xf numFmtId="0" fontId="2" fillId="7" borderId="2" xfId="0" applyAlignment="1">
      <x:alignment horizontal="center"/>
    </x:xf>
    <x:xf numFmtId="0" fontId="7" fillId="0" borderId="2" xfId="0" applyAlignment="1">
      <x:alignment horizontal="center"/>
    </x:xf>
    <x:xf numFmtId="167" fontId="7" fillId="0" borderId="2" xfId="0" applyAlignment="1">
      <x:alignment horizontal="center"/>
    </x:xf>
    <x:xf numFmtId="166" fontId="7" fillId="0" borderId="2" xfId="0" applyAlignment="1">
      <x:alignment horizontal="center"/>
    </x:xf>
    <x:xf numFmtId="0" fontId="2" fillId="5" borderId="0" xfId="0"/>
    <x:xf numFmtId="0" fontId="0" fillId="0" borderId="0" xfId="0" applyAlignment="1">
      <x:alignment wrapText="1"/>
    </x:xf>
    <x:xf numFmtId="164" fontId="6" fillId="6" borderId="0" xfId="0" applyAlignment="1">
      <x:alignment vertical="center"/>
    </x:xf>
    <x:xf numFmtId="165" fontId="7" fillId="0" borderId="0" xfId="0" applyAlignment="1">
      <x:alignment vertical="center" wrapText="1"/>
    </x:xf>
    <x:xf numFmtId="164" fontId="6" fillId="6" borderId="0" xfId="0"/>
    <x:xf numFmtId="165" fontId="7" fillId="0" borderId="0" xfId="0" applyAlignment="1">
      <x:alignment wrapText="1"/>
    </x:xf>
    <x:xf numFmtId="165" fontId="4" fillId="3" borderId="0" xfId="0"/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12cbc1edb4c5c" /><Relationship Type="http://schemas.openxmlformats.org/officeDocument/2006/relationships/theme" Target="/xl/theme/theme1.xml" Id="Rd405eb72f3c64ae9" /><Relationship Type="http://schemas.openxmlformats.org/officeDocument/2006/relationships/sharedStrings" Target="/xl/sharedStrings.xml" Id="Rd6e4417ab88e451a" /><Relationship Type="http://schemas.openxmlformats.org/officeDocument/2006/relationships/worksheet" Target="/xl/worksheets/sheet1.xml" Id="R4ebd09bf33a742a9" /><Relationship Type="http://schemas.openxmlformats.org/officeDocument/2006/relationships/worksheet" Target="/xl/worksheets/sheet2.xml" Id="Rf03733f7b9604664" /><Relationship Type="http://schemas.openxmlformats.org/officeDocument/2006/relationships/worksheet" Target="/xl/worksheets/sheet3.xml" Id="R7e4fff0b58fe44de" /><Relationship Type="http://schemas.microsoft.com/office/2017/10/relationships/person" Target="/xl/persons/person.xml" Id="R39096cf7017244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fee26d5c4d478a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Distribuição de Deals por Rating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'Dashboard'!B10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Rating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Quantidade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fee26d5c4d478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FB25B3FA-52B6-8E8D-CE73-E0375D13529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eb5ac92c0a7457e" /><Relationship Type="http://schemas.openxmlformats.org/officeDocument/2006/relationships/vmlDrawing" Target="/xl/drawings/vmldrawing.vml" Id="R5504b24b2eee43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e97de0eaa584a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0" customWidth="1"/>
    <x:col min="3" max="3" width="14" customWidth="1"/>
    <x:col min="4" max="4" width="16" customWidth="1"/>
    <x:col min="5" max="5" width="14" customWidth="1"/>
    <x:col min="6" max="6" width="16" customWidth="1"/>
    <x:col min="7" max="7" width="18" customWidth="1"/>
    <x:col min="8" max="8" width="11" customWidth="1"/>
    <x:col min="9" max="9" width="11" customWidth="1"/>
    <x:col min="10" max="10" width="13" customWidth="1"/>
    <x:col min="11" max="11" width="11" customWidth="1"/>
    <x:col min="12" max="12" width="10" customWidth="1"/>
    <x:col min="13" max="13" width="16" customWidth="1"/>
    <x:col min="14" max="14" width="10" customWidth="1"/>
    <x:col min="15" max="15" width="10" customWidth="1"/>
    <x:col min="16" max="16" width="14" customWidth="1"/>
    <x:col min="17" max="17" width="9" customWidth="1"/>
    <x:col min="18" max="18" width="10" customWidth="1"/>
    <x:col min="19" max="19" width="30" customWidth="1"/>
    <x:col min="20" max="20" width="32" customWidth="1"/>
  </x:cols>
  <x:sheetData>
    <x:row r="1" ht="24" customHeight="1">
      <x:c r="A1" s="1" t="inlineStr">
        <x:is>
          <x:t xml:space="preserve">DealSignal - Planilha Inteligente de Scoring</x:t>
        </x:is>
      </x:c>
    </x:row>
    <x:row r="2">
      <x:c r="A2" s="2" t="inlineStr">
        <x:is>
          <x:t xml:space="preserve">Preencha as colunas A:G. As colunas H:T calculam score, probabilidade, rating, friction e recomendação automaticamente.</x:t>
        </x:is>
      </x:c>
    </x:row>
    <x:row r="4" ht="22" customHeight="1">
      <x:c r="A4" s="3" t="inlineStr">
        <x:is>
          <x:t xml:space="preserve">Deal ID</x:t>
        </x:is>
      </x:c>
      <x:c r="B4" s="3" t="inlineStr">
        <x:is>
          <x:t xml:space="preserve">Account Name</x:t>
        </x:is>
      </x:c>
      <x:c r="C4" s="3" t="inlineStr">
        <x:is>
          <x:t xml:space="preserve">Deal Value ($)</x:t>
        </x:is>
      </x:c>
      <x:c r="D4" s="3" t="inlineStr">
        <x:is>
          <x:t xml:space="preserve">Stage</x:t>
        </x:is>
      </x:c>
      <x:c r="E4" s="3" t="inlineStr">
        <x:is>
          <x:t xml:space="preserve">Days in Stage</x:t>
        </x:is>
      </x:c>
      <x:c r="F4" s="3" t="inlineStr">
        <x:is>
          <x:t xml:space="preserve">Decision Maker</x:t>
        </x:is>
      </x:c>
      <x:c r="G4" s="3" t="inlineStr">
        <x:is>
          <x:t xml:space="preserve">Competitors Count</x:t>
        </x:is>
      </x:c>
      <x:c r="H4" s="3" t="inlineStr">
        <x:is>
          <x:t xml:space="preserve">Base Score</x:t>
        </x:is>
      </x:c>
      <x:c r="I4" s="3" t="inlineStr">
        <x:is>
          <x:t xml:space="preserve">Score Value</x:t>
        </x:is>
      </x:c>
      <x:c r="J4" s="3" t="inlineStr">
        <x:is>
          <x:t xml:space="preserve">Score Decision</x:t>
        </x:is>
      </x:c>
      <x:c r="K4" s="3" t="inlineStr">
        <x:is>
          <x:t xml:space="preserve">Score Stage</x:t>
        </x:is>
      </x:c>
      <x:c r="L4" s="3" t="inlineStr">
        <x:is>
          <x:t xml:space="preserve">Score Time</x:t>
        </x:is>
      </x:c>
      <x:c r="M4" s="3" t="inlineStr">
        <x:is>
          <x:t xml:space="preserve">Score Competition</x:t>
        </x:is>
      </x:c>
      <x:c r="N4" s="3" t="inlineStr">
        <x:is>
          <x:t xml:space="preserve">Final Raw</x:t>
        </x:is>
      </x:c>
      <x:c r="O4" s="3" t="inlineStr">
        <x:is>
          <x:t xml:space="preserve">Final Score</x:t>
        </x:is>
      </x:c>
      <x:c r="P4" s="3" t="inlineStr">
        <x:is>
          <x:t xml:space="preserve">Win Probability</x:t>
        </x:is>
      </x:c>
      <x:c r="Q4" s="3" t="inlineStr">
        <x:is>
          <x:t xml:space="preserve">Rating</x:t>
        </x:is>
      </x:c>
      <x:c r="R4" s="3" t="inlineStr">
        <x:is>
          <x:t xml:space="preserve">Friction</x:t>
        </x:is>
      </x:c>
      <x:c r="S4" s="3" t="inlineStr">
        <x:is>
          <x:t xml:space="preserve">Next Action</x:t>
        </x:is>
      </x:c>
      <x:c r="T4" s="3" t="inlineStr">
        <x:is>
          <x:t xml:space="preserve">Explanation</x:t>
        </x:is>
      </x:c>
    </x:row>
    <x:row r="5" ht="34" customHeight="1">
      <x:c r="A5" s="4" t="inlineStr">
        <x:is>
          <x:t xml:space="preserve">D-001</x:t>
        </x:is>
      </x:c>
      <x:c r="B5" s="4" t="inlineStr">
        <x:is>
          <x:t xml:space="preserve">Conta Azul</x:t>
        </x:is>
      </x:c>
      <x:c r="C5" s="27" t="n">
        <x:v>80000</x:v>
      </x:c>
      <x:c r="D5" s="4" t="inlineStr">
        <x:is>
          <x:t xml:space="preserve">proposal</x:t>
        </x:is>
      </x:c>
      <x:c r="E5" s="4" t="n">
        <x:v>12</x:v>
      </x:c>
      <x:c r="F5" s="4" t="inlineStr">
        <x:is>
          <x:t xml:space="preserve">Yes</x:t>
        </x:is>
      </x:c>
      <x:c r="G5" s="4" t="n">
        <x:v>2</x:v>
      </x:c>
      <x:c r="H5" s="28">
        <x:f>IF($A5="","",Config!$B$4)</x:f>
        <x:v>50</x:v>
      </x:c>
      <x:c r="I5" s="28">
        <x:f>IF($A5="","",IF(C5&gt;Config!$B$5,Config!$B$6,0))</x:f>
        <x:v>15</x:v>
      </x:c>
      <x:c r="J5" s="28">
        <x:f>IF($A5="","",IF(F5="Yes",Config!$B$7,0))</x:f>
        <x:v>15</x:v>
      </x:c>
      <x:c r="K5" s="28">
        <x:f>IF($A5="","",IF(OR(D5="proposal",D5="negotiation"),Config!$B$8,0))</x:f>
        <x:v>10</x:v>
      </x:c>
      <x:c r="L5" s="28">
        <x:f>IF($A5="","",IF(E5&gt;Config!$B$9,Config!$B$10,0))</x:f>
        <x:v>0</x:v>
      </x:c>
      <x:c r="M5" s="28">
        <x:f>IF($A5="","",IF(G5&gt;=Config!$B$11,Config!$B$12,0))</x:f>
        <x:v>0</x:v>
      </x:c>
      <x:c r="N5" s="28">
        <x:f>IF($A5="","",SUM(H5:M5))</x:f>
        <x:v>90</x:v>
      </x:c>
      <x:c r="O5" s="28">
        <x:f>IF($A5="","",MAX(0,MIN(Config!$B$13,N5)))</x:f>
        <x:v>90</x:v>
      </x:c>
      <x:c r="P5" s="7">
        <x:f>IF($A5="","",O5/Config!$B$13)</x:f>
        <x:v>0.9</x:v>
      </x:c>
      <x:c r="Q5" s="8" t="str">
        <x:f>IF($A5="","",IF(O5&gt;=Config!$B$14,"A",IF(O5&gt;=Config!$B$15,"B","C")))</x:f>
        <x:v>A</x:v>
      </x:c>
      <x:c r="R5" s="8" t="str">
        <x:f>IF($A5="","",IF(O5&gt;=Config!$B$14,"Low",IF(O5&gt;=Config!$B$15,"Medium","High")))</x:f>
        <x:v>Low</x:v>
      </x:c>
      <x:c r="S5" s="8" t="str">
        <x:f>IF($A5="","",IF(F5="No","Mapear decisor e agendar reunião",IF(E5&gt;Config!$B$9,"Realizar follow-up estruturado",IF(R5="High","Reavaliar estratégia do deal","Avançar para próxima etapa"))))</x:f>
        <x:v>Avançar para próxima etapa</x:v>
      </x:c>
      <x:c r="T5" s="8" t="str">
        <x:f>IF($A5="","","Score " &amp; O5 &amp; "/100; rating " &amp; Q5 &amp; "; friction " &amp; R5 &amp; ".")</x:f>
        <x:v>Score 90/100; rating A; friction Low.</x:v>
      </x:c>
    </x:row>
    <x:row r="6" ht="34" customHeight="1">
      <x:c r="A6" s="4" t="inlineStr">
        <x:is>
          <x:t xml:space="preserve">D-002</x:t>
        </x:is>
      </x:c>
      <x:c r="B6" s="4" t="inlineStr">
        <x:is>
          <x:t xml:space="preserve">Banco Sul</x:t>
        </x:is>
      </x:c>
      <x:c r="C6" s="27" t="n">
        <x:v>45000</x:v>
      </x:c>
      <x:c r="D6" s="4" t="inlineStr">
        <x:is>
          <x:t xml:space="preserve">qualification</x:t>
        </x:is>
      </x:c>
      <x:c r="E6" s="4" t="n">
        <x:v>28</x:v>
      </x:c>
      <x:c r="F6" s="4" t="inlineStr">
        <x:is>
          <x:t xml:space="preserve">No</x:t>
        </x:is>
      </x:c>
      <x:c r="G6" s="4" t="n">
        <x:v>4</x:v>
      </x:c>
      <x:c r="H6" s="28">
        <x:f>IF($A6="","",Config!$B$4)</x:f>
        <x:v>50</x:v>
      </x:c>
      <x:c r="I6" s="28">
        <x:f>IF($A6="","",IF(C6&gt;Config!$B$5,Config!$B$6,0))</x:f>
        <x:v>0</x:v>
      </x:c>
      <x:c r="J6" s="28">
        <x:f>IF($A6="","",IF(F6="Yes",Config!$B$7,0))</x:f>
        <x:v>0</x:v>
      </x:c>
      <x:c r="K6" s="28">
        <x:f>IF($A6="","",IF(OR(D6="proposal",D6="negotiation"),Config!$B$8,0))</x:f>
        <x:v>0</x:v>
      </x:c>
      <x:c r="L6" s="28">
        <x:f>IF($A6="","",IF(E6&gt;Config!$B$9,Config!$B$10,0))</x:f>
        <x:v>-15</x:v>
      </x:c>
      <x:c r="M6" s="28">
        <x:f>IF($A6="","",IF(G6&gt;=Config!$B$11,Config!$B$12,0))</x:f>
        <x:v>-10</x:v>
      </x:c>
      <x:c r="N6" s="28">
        <x:f>IF($A6="","",SUM(H6:M6))</x:f>
        <x:v>25</x:v>
      </x:c>
      <x:c r="O6" s="28">
        <x:f>IF($A6="","",MAX(0,MIN(Config!$B$13,N6)))</x:f>
        <x:v>25</x:v>
      </x:c>
      <x:c r="P6" s="7">
        <x:f>IF($A6="","",O6/Config!$B$13)</x:f>
        <x:v>0.25</x:v>
      </x:c>
      <x:c r="Q6" s="8" t="str">
        <x:f>IF($A6="","",IF(O6&gt;=Config!$B$14,"A",IF(O6&gt;=Config!$B$15,"B","C")))</x:f>
        <x:v>C</x:v>
      </x:c>
      <x:c r="R6" s="8" t="str">
        <x:f>IF($A6="","",IF(O6&gt;=Config!$B$14,"Low",IF(O6&gt;=Config!$B$15,"Medium","High")))</x:f>
        <x:v>High</x:v>
      </x:c>
      <x:c r="S6" s="8" t="str">
        <x:f>IF($A6="","",IF(F6="No","Mapear decisor e agendar reunião",IF(E6&gt;Config!$B$9,"Realizar follow-up estruturado",IF(R6="High","Reavaliar estratégia do deal","Avançar para próxima etapa"))))</x:f>
        <x:v>Mapear decisor e agendar reunião</x:v>
      </x:c>
      <x:c r="T6" s="8" t="str">
        <x:f>IF($A6="","","Score " &amp; O6 &amp; "/100; rating " &amp; Q6 &amp; "; friction " &amp; R6 &amp; ".")</x:f>
        <x:v>Score 25/100; rating C; friction High.</x:v>
      </x:c>
    </x:row>
    <x:row r="7" ht="34" customHeight="1">
      <x:c r="A7" s="4" t="inlineStr">
        <x:is>
          <x:t xml:space="preserve">D-003</x:t>
        </x:is>
      </x:c>
      <x:c r="B7" s="4" t="inlineStr">
        <x:is>
          <x:t xml:space="preserve">HealthCorp</x:t>
        </x:is>
      </x:c>
      <x:c r="C7" s="27" t="n">
        <x:v>120000</x:v>
      </x:c>
      <x:c r="D7" s="4" t="inlineStr">
        <x:is>
          <x:t xml:space="preserve">negotiation</x:t>
        </x:is>
      </x:c>
      <x:c r="E7" s="4" t="n">
        <x:v>8</x:v>
      </x:c>
      <x:c r="F7" s="4" t="inlineStr">
        <x:is>
          <x:t xml:space="preserve">Yes</x:t>
        </x:is>
      </x:c>
      <x:c r="G7" s="4" t="n">
        <x:v>1</x:v>
      </x:c>
      <x:c r="H7" s="28">
        <x:f>IF($A7="","",Config!$B$4)</x:f>
        <x:v>50</x:v>
      </x:c>
      <x:c r="I7" s="28">
        <x:f>IF($A7="","",IF(C7&gt;Config!$B$5,Config!$B$6,0))</x:f>
        <x:v>15</x:v>
      </x:c>
      <x:c r="J7" s="28">
        <x:f>IF($A7="","",IF(F7="Yes",Config!$B$7,0))</x:f>
        <x:v>15</x:v>
      </x:c>
      <x:c r="K7" s="28">
        <x:f>IF($A7="","",IF(OR(D7="proposal",D7="negotiation"),Config!$B$8,0))</x:f>
        <x:v>10</x:v>
      </x:c>
      <x:c r="L7" s="28">
        <x:f>IF($A7="","",IF(E7&gt;Config!$B$9,Config!$B$10,0))</x:f>
        <x:v>0</x:v>
      </x:c>
      <x:c r="M7" s="28">
        <x:f>IF($A7="","",IF(G7&gt;=Config!$B$11,Config!$B$12,0))</x:f>
        <x:v>0</x:v>
      </x:c>
      <x:c r="N7" s="28">
        <x:f>IF($A7="","",SUM(H7:M7))</x:f>
        <x:v>90</x:v>
      </x:c>
      <x:c r="O7" s="28">
        <x:f>IF($A7="","",MAX(0,MIN(Config!$B$13,N7)))</x:f>
        <x:v>90</x:v>
      </x:c>
      <x:c r="P7" s="7">
        <x:f>IF($A7="","",O7/Config!$B$13)</x:f>
        <x:v>0.9</x:v>
      </x:c>
      <x:c r="Q7" s="8" t="str">
        <x:f>IF($A7="","",IF(O7&gt;=Config!$B$14,"A",IF(O7&gt;=Config!$B$15,"B","C")))</x:f>
        <x:v>A</x:v>
      </x:c>
      <x:c r="R7" s="8" t="str">
        <x:f>IF($A7="","",IF(O7&gt;=Config!$B$14,"Low",IF(O7&gt;=Config!$B$15,"Medium","High")))</x:f>
        <x:v>Low</x:v>
      </x:c>
      <x:c r="S7" s="8" t="str">
        <x:f>IF($A7="","",IF(F7="No","Mapear decisor e agendar reunião",IF(E7&gt;Config!$B$9,"Realizar follow-up estruturado",IF(R7="High","Reavaliar estratégia do deal","Avançar para próxima etapa"))))</x:f>
        <x:v>Avançar para próxima etapa</x:v>
      </x:c>
      <x:c r="T7" s="8" t="str">
        <x:f>IF($A7="","","Score " &amp; O7 &amp; "/100; rating " &amp; Q7 &amp; "; friction " &amp; R7 &amp; ".")</x:f>
        <x:v>Score 90/100; rating A; friction Low.</x:v>
      </x:c>
    </x:row>
    <x:row r="8" ht="34" customHeight="1">
      <x:c r="A8" s="4" t="inlineStr">
        <x:is>
          <x:t xml:space="preserve">D-004</x:t>
        </x:is>
      </x:c>
      <x:c r="B8" s="4" t="inlineStr">
        <x:is>
          <x:t xml:space="preserve">Retail Max</x:t>
        </x:is>
      </x:c>
      <x:c r="C8" s="27" t="n">
        <x:v>38000</x:v>
      </x:c>
      <x:c r="D8" s="4" t="inlineStr">
        <x:is>
          <x:t xml:space="preserve">discovery</x:t>
        </x:is>
      </x:c>
      <x:c r="E8" s="4" t="n">
        <x:v>6</x:v>
      </x:c>
      <x:c r="F8" s="4" t="inlineStr">
        <x:is>
          <x:t xml:space="preserve">No</x:t>
        </x:is>
      </x:c>
      <x:c r="G8" s="4" t="n">
        <x:v>0</x:v>
      </x:c>
      <x:c r="H8" s="28">
        <x:f>IF($A8="","",Config!$B$4)</x:f>
        <x:v>50</x:v>
      </x:c>
      <x:c r="I8" s="28">
        <x:f>IF($A8="","",IF(C8&gt;Config!$B$5,Config!$B$6,0))</x:f>
        <x:v>0</x:v>
      </x:c>
      <x:c r="J8" s="28">
        <x:f>IF($A8="","",IF(F8="Yes",Config!$B$7,0))</x:f>
        <x:v>0</x:v>
      </x:c>
      <x:c r="K8" s="28">
        <x:f>IF($A8="","",IF(OR(D8="proposal",D8="negotiation"),Config!$B$8,0))</x:f>
        <x:v>0</x:v>
      </x:c>
      <x:c r="L8" s="28">
        <x:f>IF($A8="","",IF(E8&gt;Config!$B$9,Config!$B$10,0))</x:f>
        <x:v>0</x:v>
      </x:c>
      <x:c r="M8" s="28">
        <x:f>IF($A8="","",IF(G8&gt;=Config!$B$11,Config!$B$12,0))</x:f>
        <x:v>0</x:v>
      </x:c>
      <x:c r="N8" s="28">
        <x:f>IF($A8="","",SUM(H8:M8))</x:f>
        <x:v>50</x:v>
      </x:c>
      <x:c r="O8" s="28">
        <x:f>IF($A8="","",MAX(0,MIN(Config!$B$13,N8)))</x:f>
        <x:v>50</x:v>
      </x:c>
      <x:c r="P8" s="7">
        <x:f>IF($A8="","",O8/Config!$B$13)</x:f>
        <x:v>0.5</x:v>
      </x:c>
      <x:c r="Q8" s="8" t="str">
        <x:f>IF($A8="","",IF(O8&gt;=Config!$B$14,"A",IF(O8&gt;=Config!$B$15,"B","C")))</x:f>
        <x:v>C</x:v>
      </x:c>
      <x:c r="R8" s="8" t="str">
        <x:f>IF($A8="","",IF(O8&gt;=Config!$B$14,"Low",IF(O8&gt;=Config!$B$15,"Medium","High")))</x:f>
        <x:v>High</x:v>
      </x:c>
      <x:c r="S8" s="8" t="str">
        <x:f>IF($A8="","",IF(F8="No","Mapear decisor e agendar reunião",IF(E8&gt;Config!$B$9,"Realizar follow-up estruturado",IF(R8="High","Reavaliar estratégia do deal","Avançar para próxima etapa"))))</x:f>
        <x:v>Mapear decisor e agendar reunião</x:v>
      </x:c>
      <x:c r="T8" s="8" t="str">
        <x:f>IF($A8="","","Score " &amp; O8 &amp; "/100; rating " &amp; Q8 &amp; "; friction " &amp; R8 &amp; ".")</x:f>
        <x:v>Score 50/100; rating C; friction High.</x:v>
      </x:c>
    </x:row>
    <x:row r="9" ht="34" customHeight="1">
      <x:c r="A9" s="4" t="inlineStr">
        <x:is>
          <x:t xml:space="preserve">D-005</x:t>
        </x:is>
      </x:c>
      <x:c r="B9" s="4" t="inlineStr">
        <x:is>
          <x:t xml:space="preserve">FinOps Pro</x:t>
        </x:is>
      </x:c>
      <x:c r="C9" s="27" t="n">
        <x:v>65000</x:v>
      </x:c>
      <x:c r="D9" s="4" t="inlineStr">
        <x:is>
          <x:t xml:space="preserve">proposal</x:t>
        </x:is>
      </x:c>
      <x:c r="E9" s="4" t="n">
        <x:v>25</x:v>
      </x:c>
      <x:c r="F9" s="4" t="inlineStr">
        <x:is>
          <x:t xml:space="preserve">Yes</x:t>
        </x:is>
      </x:c>
      <x:c r="G9" s="4" t="n">
        <x:v>3</x:v>
      </x:c>
      <x:c r="H9" s="28">
        <x:f>IF($A9="","",Config!$B$4)</x:f>
        <x:v>50</x:v>
      </x:c>
      <x:c r="I9" s="28">
        <x:f>IF($A9="","",IF(C9&gt;Config!$B$5,Config!$B$6,0))</x:f>
        <x:v>15</x:v>
      </x:c>
      <x:c r="J9" s="28">
        <x:f>IF($A9="","",IF(F9="Yes",Config!$B$7,0))</x:f>
        <x:v>15</x:v>
      </x:c>
      <x:c r="K9" s="28">
        <x:f>IF($A9="","",IF(OR(D9="proposal",D9="negotiation"),Config!$B$8,0))</x:f>
        <x:v>10</x:v>
      </x:c>
      <x:c r="L9" s="28">
        <x:f>IF($A9="","",IF(E9&gt;Config!$B$9,Config!$B$10,0))</x:f>
        <x:v>-15</x:v>
      </x:c>
      <x:c r="M9" s="28">
        <x:f>IF($A9="","",IF(G9&gt;=Config!$B$11,Config!$B$12,0))</x:f>
        <x:v>-10</x:v>
      </x:c>
      <x:c r="N9" s="28">
        <x:f>IF($A9="","",SUM(H9:M9))</x:f>
        <x:v>65</x:v>
      </x:c>
      <x:c r="O9" s="28">
        <x:f>IF($A9="","",MAX(0,MIN(Config!$B$13,N9)))</x:f>
        <x:v>65</x:v>
      </x:c>
      <x:c r="P9" s="7">
        <x:f>IF($A9="","",O9/Config!$B$13)</x:f>
        <x:v>0.65</x:v>
      </x:c>
      <x:c r="Q9" s="8" t="str">
        <x:f>IF($A9="","",IF(O9&gt;=Config!$B$14,"A",IF(O9&gt;=Config!$B$15,"B","C")))</x:f>
        <x:v>B</x:v>
      </x:c>
      <x:c r="R9" s="8" t="str">
        <x:f>IF($A9="","",IF(O9&gt;=Config!$B$14,"Low",IF(O9&gt;=Config!$B$15,"Medium","High")))</x:f>
        <x:v>Medium</x:v>
      </x:c>
      <x:c r="S9" s="8" t="str">
        <x:f>IF($A9="","",IF(F9="No","Mapear decisor e agendar reunião",IF(E9&gt;Config!$B$9,"Realizar follow-up estruturado",IF(R9="High","Reavaliar estratégia do deal","Avançar para próxima etapa"))))</x:f>
        <x:v>Realizar follow-up estruturado</x:v>
      </x:c>
      <x:c r="T9" s="8" t="str">
        <x:f>IF($A9="","","Score " &amp; O9 &amp; "/100; rating " &amp; Q9 &amp; "; friction " &amp; R9 &amp; ".")</x:f>
        <x:v>Score 65/100; rating B; friction Medium.</x:v>
      </x:c>
    </x:row>
    <x:row r="10" ht="34" customHeight="1">
      <x:c r="A10" s="4" t="inlineStr">
        <x:is>
          <x:t xml:space="preserve">D-006</x:t>
        </x:is>
      </x:c>
      <x:c r="B10" s="4" t="inlineStr">
        <x:is>
          <x:t xml:space="preserve">LogiChain</x:t>
        </x:is>
      </x:c>
      <x:c r="C10" s="27" t="n">
        <x:v>54000</x:v>
      </x:c>
      <x:c r="D10" s="4" t="inlineStr">
        <x:is>
          <x:t xml:space="preserve">negotiation</x:t>
        </x:is>
      </x:c>
      <x:c r="E10" s="4" t="n">
        <x:v>35</x:v>
      </x:c>
      <x:c r="F10" s="4" t="inlineStr">
        <x:is>
          <x:t xml:space="preserve">No</x:t>
        </x:is>
      </x:c>
      <x:c r="G10" s="4" t="n">
        <x:v>5</x:v>
      </x:c>
      <x:c r="H10" s="28">
        <x:f>IF($A10="","",Config!$B$4)</x:f>
        <x:v>50</x:v>
      </x:c>
      <x:c r="I10" s="28">
        <x:f>IF($A10="","",IF(C10&gt;Config!$B$5,Config!$B$6,0))</x:f>
        <x:v>15</x:v>
      </x:c>
      <x:c r="J10" s="28">
        <x:f>IF($A10="","",IF(F10="Yes",Config!$B$7,0))</x:f>
        <x:v>0</x:v>
      </x:c>
      <x:c r="K10" s="28">
        <x:f>IF($A10="","",IF(OR(D10="proposal",D10="negotiation"),Config!$B$8,0))</x:f>
        <x:v>10</x:v>
      </x:c>
      <x:c r="L10" s="28">
        <x:f>IF($A10="","",IF(E10&gt;Config!$B$9,Config!$B$10,0))</x:f>
        <x:v>-15</x:v>
      </x:c>
      <x:c r="M10" s="28">
        <x:f>IF($A10="","",IF(G10&gt;=Config!$B$11,Config!$B$12,0))</x:f>
        <x:v>-10</x:v>
      </x:c>
      <x:c r="N10" s="28">
        <x:f>IF($A10="","",SUM(H10:M10))</x:f>
        <x:v>50</x:v>
      </x:c>
      <x:c r="O10" s="28">
        <x:f>IF($A10="","",MAX(0,MIN(Config!$B$13,N10)))</x:f>
        <x:v>50</x:v>
      </x:c>
      <x:c r="P10" s="7">
        <x:f>IF($A10="","",O10/Config!$B$13)</x:f>
        <x:v>0.5</x:v>
      </x:c>
      <x:c r="Q10" s="8" t="str">
        <x:f>IF($A10="","",IF(O10&gt;=Config!$B$14,"A",IF(O10&gt;=Config!$B$15,"B","C")))</x:f>
        <x:v>C</x:v>
      </x:c>
      <x:c r="R10" s="8" t="str">
        <x:f>IF($A10="","",IF(O10&gt;=Config!$B$14,"Low",IF(O10&gt;=Config!$B$15,"Medium","High")))</x:f>
        <x:v>High</x:v>
      </x:c>
      <x:c r="S10" s="8" t="str">
        <x:f>IF($A10="","",IF(F10="No","Mapear decisor e agendar reunião",IF(E10&gt;Config!$B$9,"Realizar follow-up estruturado",IF(R10="High","Reavaliar estratégia do deal","Avançar para próxima etapa"))))</x:f>
        <x:v>Mapear decisor e agendar reunião</x:v>
      </x:c>
      <x:c r="T10" s="8" t="str">
        <x:f>IF($A10="","","Score " &amp; O10 &amp; "/100; rating " &amp; Q10 &amp; "; friction " &amp; R10 &amp; ".")</x:f>
        <x:v>Score 50/100; rating C; friction High.</x:v>
      </x:c>
    </x:row>
    <x:row r="11" ht="34" customHeight="1">
      <x:c r="A11" s="9" t="n"/>
      <x:c r="B11" s="9" t="n"/>
      <x:c r="C11" s="29" t="n"/>
      <x:c r="D11" s="9" t="n"/>
      <x:c r="E11" s="9" t="n"/>
      <x:c r="F11" s="9" t="n"/>
      <x:c r="G11" s="9" t="n"/>
      <x:c r="H11" s="30">
        <x:f>IF($A11="","",Config!$B$4)</x:f>
      </x:c>
      <x:c r="I11" s="30">
        <x:f>IF($A11="","",IF(C11&gt;Config!$B$5,Config!$B$6,0))</x:f>
      </x:c>
      <x:c r="J11" s="30">
        <x:f>IF($A11="","",IF(F11="Yes",Config!$B$7,0))</x:f>
      </x:c>
      <x:c r="K11" s="30">
        <x:f>IF($A11="","",IF(OR(D11="proposal",D11="negotiation"),Config!$B$8,0))</x:f>
      </x:c>
      <x:c r="L11" s="30">
        <x:f>IF($A11="","",IF(E11&gt;Config!$B$9,Config!$B$10,0))</x:f>
      </x:c>
      <x:c r="M11" s="30">
        <x:f>IF($A11="","",IF(G11&gt;=Config!$B$11,Config!$B$12,0))</x:f>
      </x:c>
      <x:c r="N11" s="30">
        <x:f>IF($A11="","",SUM(H11:M11))</x:f>
      </x:c>
      <x:c r="O11" s="30">
        <x:f>IF($A11="","",MAX(0,MIN(Config!$B$13,N11)))</x:f>
      </x:c>
      <x:c r="P11" s="12">
        <x:f>IF($A11="","",O11/Config!$B$13)</x:f>
      </x:c>
      <x:c r="Q11" s="13">
        <x:f>IF($A11="","",IF(O11&gt;=Config!$B$14,"A",IF(O11&gt;=Config!$B$15,"B","C")))</x:f>
      </x:c>
      <x:c r="R11" s="13">
        <x:f>IF($A11="","",IF(O11&gt;=Config!$B$14,"Low",IF(O11&gt;=Config!$B$15,"Medium","High")))</x:f>
      </x:c>
      <x:c r="S11" s="13">
        <x:f>IF($A11="","",IF(F11="No","Mapear decisor e agendar reunião",IF(E11&gt;Config!$B$9,"Realizar follow-up estruturado",IF(R11="High","Reavaliar estratégia do deal","Avançar para próxima etapa"))))</x:f>
      </x:c>
      <x:c r="T11" s="13">
        <x:f>IF($A11="","","Score " &amp; O11 &amp; "/100; rating " &amp; Q11 &amp; "; friction " &amp; R11 &amp; ".")</x:f>
      </x:c>
    </x:row>
    <x:row r="12" ht="34" customHeight="1">
      <x:c r="A12" s="9" t="n"/>
      <x:c r="B12" s="9" t="n"/>
      <x:c r="C12" s="29" t="n"/>
      <x:c r="D12" s="9" t="n"/>
      <x:c r="E12" s="9" t="n"/>
      <x:c r="F12" s="9" t="n"/>
      <x:c r="G12" s="9" t="n"/>
      <x:c r="H12" s="30">
        <x:f>IF($A12="","",Config!$B$4)</x:f>
      </x:c>
      <x:c r="I12" s="30">
        <x:f>IF($A12="","",IF(C12&gt;Config!$B$5,Config!$B$6,0))</x:f>
      </x:c>
      <x:c r="J12" s="30">
        <x:f>IF($A12="","",IF(F12="Yes",Config!$B$7,0))</x:f>
      </x:c>
      <x:c r="K12" s="30">
        <x:f>IF($A12="","",IF(OR(D12="proposal",D12="negotiation"),Config!$B$8,0))</x:f>
      </x:c>
      <x:c r="L12" s="30">
        <x:f>IF($A12="","",IF(E12&gt;Config!$B$9,Config!$B$10,0))</x:f>
      </x:c>
      <x:c r="M12" s="30">
        <x:f>IF($A12="","",IF(G12&gt;=Config!$B$11,Config!$B$12,0))</x:f>
      </x:c>
      <x:c r="N12" s="30">
        <x:f>IF($A12="","",SUM(H12:M12))</x:f>
      </x:c>
      <x:c r="O12" s="30">
        <x:f>IF($A12="","",MAX(0,MIN(Config!$B$13,N12)))</x:f>
      </x:c>
      <x:c r="P12" s="12">
        <x:f>IF($A12="","",O12/Config!$B$13)</x:f>
      </x:c>
      <x:c r="Q12" s="13">
        <x:f>IF($A12="","",IF(O12&gt;=Config!$B$14,"A",IF(O12&gt;=Config!$B$15,"B","C")))</x:f>
      </x:c>
      <x:c r="R12" s="13">
        <x:f>IF($A12="","",IF(O12&gt;=Config!$B$14,"Low",IF(O12&gt;=Config!$B$15,"Medium","High")))</x:f>
      </x:c>
      <x:c r="S12" s="13">
        <x:f>IF($A12="","",IF(F12="No","Mapear decisor e agendar reunião",IF(E12&gt;Config!$B$9,"Realizar follow-up estruturado",IF(R12="High","Reavaliar estratégia do deal","Avançar para próxima etapa"))))</x:f>
      </x:c>
      <x:c r="T12" s="13">
        <x:f>IF($A12="","","Score " &amp; O12 &amp; "/100; rating " &amp; Q12 &amp; "; friction " &amp; R12 &amp; ".")</x:f>
      </x:c>
    </x:row>
    <x:row r="13" ht="34" customHeight="1">
      <x:c r="A13" s="9" t="n"/>
      <x:c r="B13" s="9" t="n"/>
      <x:c r="C13" s="29" t="n"/>
      <x:c r="D13" s="9" t="n"/>
      <x:c r="E13" s="9" t="n"/>
      <x:c r="F13" s="9" t="n"/>
      <x:c r="G13" s="9" t="n"/>
      <x:c r="H13" s="30">
        <x:f>IF($A13="","",Config!$B$4)</x:f>
      </x:c>
      <x:c r="I13" s="30">
        <x:f>IF($A13="","",IF(C13&gt;Config!$B$5,Config!$B$6,0))</x:f>
      </x:c>
      <x:c r="J13" s="30">
        <x:f>IF($A13="","",IF(F13="Yes",Config!$B$7,0))</x:f>
      </x:c>
      <x:c r="K13" s="30">
        <x:f>IF($A13="","",IF(OR(D13="proposal",D13="negotiation"),Config!$B$8,0))</x:f>
      </x:c>
      <x:c r="L13" s="30">
        <x:f>IF($A13="","",IF(E13&gt;Config!$B$9,Config!$B$10,0))</x:f>
      </x:c>
      <x:c r="M13" s="30">
        <x:f>IF($A13="","",IF(G13&gt;=Config!$B$11,Config!$B$12,0))</x:f>
      </x:c>
      <x:c r="N13" s="30">
        <x:f>IF($A13="","",SUM(H13:M13))</x:f>
      </x:c>
      <x:c r="O13" s="30">
        <x:f>IF($A13="","",MAX(0,MIN(Config!$B$13,N13)))</x:f>
      </x:c>
      <x:c r="P13" s="12">
        <x:f>IF($A13="","",O13/Config!$B$13)</x:f>
      </x:c>
      <x:c r="Q13" s="13">
        <x:f>IF($A13="","",IF(O13&gt;=Config!$B$14,"A",IF(O13&gt;=Config!$B$15,"B","C")))</x:f>
      </x:c>
      <x:c r="R13" s="13">
        <x:f>IF($A13="","",IF(O13&gt;=Config!$B$14,"Low",IF(O13&gt;=Config!$B$15,"Medium","High")))</x:f>
      </x:c>
      <x:c r="S13" s="13">
        <x:f>IF($A13="","",IF(F13="No","Mapear decisor e agendar reunião",IF(E13&gt;Config!$B$9,"Realizar follow-up estruturado",IF(R13="High","Reavaliar estratégia do deal","Avançar para próxima etapa"))))</x:f>
      </x:c>
      <x:c r="T13" s="13">
        <x:f>IF($A13="","","Score " &amp; O13 &amp; "/100; rating " &amp; Q13 &amp; "; friction " &amp; R13 &amp; ".")</x:f>
      </x:c>
    </x:row>
    <x:row r="14" ht="34" customHeight="1">
      <x:c r="A14" s="9" t="n"/>
      <x:c r="B14" s="9" t="n"/>
      <x:c r="C14" s="29" t="n"/>
      <x:c r="D14" s="9" t="n"/>
      <x:c r="E14" s="9" t="n"/>
      <x:c r="F14" s="9" t="n"/>
      <x:c r="G14" s="9" t="n"/>
      <x:c r="H14" s="30">
        <x:f>IF($A14="","",Config!$B$4)</x:f>
      </x:c>
      <x:c r="I14" s="30">
        <x:f>IF($A14="","",IF(C14&gt;Config!$B$5,Config!$B$6,0))</x:f>
      </x:c>
      <x:c r="J14" s="30">
        <x:f>IF($A14="","",IF(F14="Yes",Config!$B$7,0))</x:f>
      </x:c>
      <x:c r="K14" s="30">
        <x:f>IF($A14="","",IF(OR(D14="proposal",D14="negotiation"),Config!$B$8,0))</x:f>
      </x:c>
      <x:c r="L14" s="30">
        <x:f>IF($A14="","",IF(E14&gt;Config!$B$9,Config!$B$10,0))</x:f>
      </x:c>
      <x:c r="M14" s="30">
        <x:f>IF($A14="","",IF(G14&gt;=Config!$B$11,Config!$B$12,0))</x:f>
      </x:c>
      <x:c r="N14" s="30">
        <x:f>IF($A14="","",SUM(H14:M14))</x:f>
      </x:c>
      <x:c r="O14" s="30">
        <x:f>IF($A14="","",MAX(0,MIN(Config!$B$13,N14)))</x:f>
      </x:c>
      <x:c r="P14" s="12">
        <x:f>IF($A14="","",O14/Config!$B$13)</x:f>
      </x:c>
      <x:c r="Q14" s="13">
        <x:f>IF($A14="","",IF(O14&gt;=Config!$B$14,"A",IF(O14&gt;=Config!$B$15,"B","C")))</x:f>
      </x:c>
      <x:c r="R14" s="13">
        <x:f>IF($A14="","",IF(O14&gt;=Config!$B$14,"Low",IF(O14&gt;=Config!$B$15,"Medium","High")))</x:f>
      </x:c>
      <x:c r="S14" s="13">
        <x:f>IF($A14="","",IF(F14="No","Mapear decisor e agendar reunião",IF(E14&gt;Config!$B$9,"Realizar follow-up estruturado",IF(R14="High","Reavaliar estratégia do deal","Avançar para próxima etapa"))))</x:f>
      </x:c>
      <x:c r="T14" s="13">
        <x:f>IF($A14="","","Score " &amp; O14 &amp; "/100; rating " &amp; Q14 &amp; "; friction " &amp; R14 &amp; ".")</x:f>
      </x:c>
    </x:row>
    <x:row r="15" ht="34" customHeight="1">
      <x:c r="A15" s="9" t="n"/>
      <x:c r="B15" s="9" t="n"/>
      <x:c r="C15" s="29" t="n"/>
      <x:c r="D15" s="9" t="n"/>
      <x:c r="E15" s="9" t="n"/>
      <x:c r="F15" s="9" t="n"/>
      <x:c r="G15" s="9" t="n"/>
      <x:c r="H15" s="30">
        <x:f>IF($A15="","",Config!$B$4)</x:f>
      </x:c>
      <x:c r="I15" s="30">
        <x:f>IF($A15="","",IF(C15&gt;Config!$B$5,Config!$B$6,0))</x:f>
      </x:c>
      <x:c r="J15" s="30">
        <x:f>IF($A15="","",IF(F15="Yes",Config!$B$7,0))</x:f>
      </x:c>
      <x:c r="K15" s="30">
        <x:f>IF($A15="","",IF(OR(D15="proposal",D15="negotiation"),Config!$B$8,0))</x:f>
      </x:c>
      <x:c r="L15" s="30">
        <x:f>IF($A15="","",IF(E15&gt;Config!$B$9,Config!$B$10,0))</x:f>
      </x:c>
      <x:c r="M15" s="30">
        <x:f>IF($A15="","",IF(G15&gt;=Config!$B$11,Config!$B$12,0))</x:f>
      </x:c>
      <x:c r="N15" s="30">
        <x:f>IF($A15="","",SUM(H15:M15))</x:f>
      </x:c>
      <x:c r="O15" s="30">
        <x:f>IF($A15="","",MAX(0,MIN(Config!$B$13,N15)))</x:f>
      </x:c>
      <x:c r="P15" s="12">
        <x:f>IF($A15="","",O15/Config!$B$13)</x:f>
      </x:c>
      <x:c r="Q15" s="13">
        <x:f>IF($A15="","",IF(O15&gt;=Config!$B$14,"A",IF(O15&gt;=Config!$B$15,"B","C")))</x:f>
      </x:c>
      <x:c r="R15" s="13">
        <x:f>IF($A15="","",IF(O15&gt;=Config!$B$14,"Low",IF(O15&gt;=Config!$B$15,"Medium","High")))</x:f>
      </x:c>
      <x:c r="S15" s="13">
        <x:f>IF($A15="","",IF(F15="No","Mapear decisor e agendar reunião",IF(E15&gt;Config!$B$9,"Realizar follow-up estruturado",IF(R15="High","Reavaliar estratégia do deal","Avançar para próxima etapa"))))</x:f>
      </x:c>
      <x:c r="T15" s="13">
        <x:f>IF($A15="","","Score " &amp; O15 &amp; "/100; rating " &amp; Q15 &amp; "; friction " &amp; R15 &amp; ".")</x:f>
      </x:c>
    </x:row>
    <x:row r="16" ht="34" customHeight="1">
      <x:c r="A16" s="9" t="n"/>
      <x:c r="B16" s="9" t="n"/>
      <x:c r="C16" s="29" t="n"/>
      <x:c r="D16" s="9" t="n"/>
      <x:c r="E16" s="9" t="n"/>
      <x:c r="F16" s="9" t="n"/>
      <x:c r="G16" s="9" t="n"/>
      <x:c r="H16" s="30">
        <x:f>IF($A16="","",Config!$B$4)</x:f>
      </x:c>
      <x:c r="I16" s="30">
        <x:f>IF($A16="","",IF(C16&gt;Config!$B$5,Config!$B$6,0))</x:f>
      </x:c>
      <x:c r="J16" s="30">
        <x:f>IF($A16="","",IF(F16="Yes",Config!$B$7,0))</x:f>
      </x:c>
      <x:c r="K16" s="30">
        <x:f>IF($A16="","",IF(OR(D16="proposal",D16="negotiation"),Config!$B$8,0))</x:f>
      </x:c>
      <x:c r="L16" s="30">
        <x:f>IF($A16="","",IF(E16&gt;Config!$B$9,Config!$B$10,0))</x:f>
      </x:c>
      <x:c r="M16" s="30">
        <x:f>IF($A16="","",IF(G16&gt;=Config!$B$11,Config!$B$12,0))</x:f>
      </x:c>
      <x:c r="N16" s="30">
        <x:f>IF($A16="","",SUM(H16:M16))</x:f>
      </x:c>
      <x:c r="O16" s="30">
        <x:f>IF($A16="","",MAX(0,MIN(Config!$B$13,N16)))</x:f>
      </x:c>
      <x:c r="P16" s="12">
        <x:f>IF($A16="","",O16/Config!$B$13)</x:f>
      </x:c>
      <x:c r="Q16" s="13">
        <x:f>IF($A16="","",IF(O16&gt;=Config!$B$14,"A",IF(O16&gt;=Config!$B$15,"B","C")))</x:f>
      </x:c>
      <x:c r="R16" s="13">
        <x:f>IF($A16="","",IF(O16&gt;=Config!$B$14,"Low",IF(O16&gt;=Config!$B$15,"Medium","High")))</x:f>
      </x:c>
      <x:c r="S16" s="13">
        <x:f>IF($A16="","",IF(F16="No","Mapear decisor e agendar reunião",IF(E16&gt;Config!$B$9,"Realizar follow-up estruturado",IF(R16="High","Reavaliar estratégia do deal","Avançar para próxima etapa"))))</x:f>
      </x:c>
      <x:c r="T16" s="13">
        <x:f>IF($A16="","","Score " &amp; O16 &amp; "/100; rating " &amp; Q16 &amp; "; friction " &amp; R16 &amp; ".")</x:f>
      </x:c>
    </x:row>
    <x:row r="17" ht="34" customHeight="1">
      <x:c r="A17" s="9" t="n"/>
      <x:c r="B17" s="9" t="n"/>
      <x:c r="C17" s="29" t="n"/>
      <x:c r="D17" s="9" t="n"/>
      <x:c r="E17" s="9" t="n"/>
      <x:c r="F17" s="9" t="n"/>
      <x:c r="G17" s="9" t="n"/>
      <x:c r="H17" s="30">
        <x:f>IF($A17="","",Config!$B$4)</x:f>
      </x:c>
      <x:c r="I17" s="30">
        <x:f>IF($A17="","",IF(C17&gt;Config!$B$5,Config!$B$6,0))</x:f>
      </x:c>
      <x:c r="J17" s="30">
        <x:f>IF($A17="","",IF(F17="Yes",Config!$B$7,0))</x:f>
      </x:c>
      <x:c r="K17" s="30">
        <x:f>IF($A17="","",IF(OR(D17="proposal",D17="negotiation"),Config!$B$8,0))</x:f>
      </x:c>
      <x:c r="L17" s="30">
        <x:f>IF($A17="","",IF(E17&gt;Config!$B$9,Config!$B$10,0))</x:f>
      </x:c>
      <x:c r="M17" s="30">
        <x:f>IF($A17="","",IF(G17&gt;=Config!$B$11,Config!$B$12,0))</x:f>
      </x:c>
      <x:c r="N17" s="30">
        <x:f>IF($A17="","",SUM(H17:M17))</x:f>
      </x:c>
      <x:c r="O17" s="30">
        <x:f>IF($A17="","",MAX(0,MIN(Config!$B$13,N17)))</x:f>
      </x:c>
      <x:c r="P17" s="12">
        <x:f>IF($A17="","",O17/Config!$B$13)</x:f>
      </x:c>
      <x:c r="Q17" s="13">
        <x:f>IF($A17="","",IF(O17&gt;=Config!$B$14,"A",IF(O17&gt;=Config!$B$15,"B","C")))</x:f>
      </x:c>
      <x:c r="R17" s="13">
        <x:f>IF($A17="","",IF(O17&gt;=Config!$B$14,"Low",IF(O17&gt;=Config!$B$15,"Medium","High")))</x:f>
      </x:c>
      <x:c r="S17" s="13">
        <x:f>IF($A17="","",IF(F17="No","Mapear decisor e agendar reunião",IF(E17&gt;Config!$B$9,"Realizar follow-up estruturado",IF(R17="High","Reavaliar estratégia do deal","Avançar para próxima etapa"))))</x:f>
      </x:c>
      <x:c r="T17" s="13">
        <x:f>IF($A17="","","Score " &amp; O17 &amp; "/100; rating " &amp; Q17 &amp; "; friction " &amp; R17 &amp; ".")</x:f>
      </x:c>
    </x:row>
    <x:row r="18" ht="34" customHeight="1">
      <x:c r="A18" s="9" t="n"/>
      <x:c r="B18" s="9" t="n"/>
      <x:c r="C18" s="29" t="n"/>
      <x:c r="D18" s="9" t="n"/>
      <x:c r="E18" s="9" t="n"/>
      <x:c r="F18" s="9" t="n"/>
      <x:c r="G18" s="9" t="n"/>
      <x:c r="H18" s="30">
        <x:f>IF($A18="","",Config!$B$4)</x:f>
      </x:c>
      <x:c r="I18" s="30">
        <x:f>IF($A18="","",IF(C18&gt;Config!$B$5,Config!$B$6,0))</x:f>
      </x:c>
      <x:c r="J18" s="30">
        <x:f>IF($A18="","",IF(F18="Yes",Config!$B$7,0))</x:f>
      </x:c>
      <x:c r="K18" s="30">
        <x:f>IF($A18="","",IF(OR(D18="proposal",D18="negotiation"),Config!$B$8,0))</x:f>
      </x:c>
      <x:c r="L18" s="30">
        <x:f>IF($A18="","",IF(E18&gt;Config!$B$9,Config!$B$10,0))</x:f>
      </x:c>
      <x:c r="M18" s="30">
        <x:f>IF($A18="","",IF(G18&gt;=Config!$B$11,Config!$B$12,0))</x:f>
      </x:c>
      <x:c r="N18" s="30">
        <x:f>IF($A18="","",SUM(H18:M18))</x:f>
      </x:c>
      <x:c r="O18" s="30">
        <x:f>IF($A18="","",MAX(0,MIN(Config!$B$13,N18)))</x:f>
      </x:c>
      <x:c r="P18" s="12">
        <x:f>IF($A18="","",O18/Config!$B$13)</x:f>
      </x:c>
      <x:c r="Q18" s="13">
        <x:f>IF($A18="","",IF(O18&gt;=Config!$B$14,"A",IF(O18&gt;=Config!$B$15,"B","C")))</x:f>
      </x:c>
      <x:c r="R18" s="13">
        <x:f>IF($A18="","",IF(O18&gt;=Config!$B$14,"Low",IF(O18&gt;=Config!$B$15,"Medium","High")))</x:f>
      </x:c>
      <x:c r="S18" s="13">
        <x:f>IF($A18="","",IF(F18="No","Mapear decisor e agendar reunião",IF(E18&gt;Config!$B$9,"Realizar follow-up estruturado",IF(R18="High","Reavaliar estratégia do deal","Avançar para próxima etapa"))))</x:f>
      </x:c>
      <x:c r="T18" s="13">
        <x:f>IF($A18="","","Score " &amp; O18 &amp; "/100; rating " &amp; Q18 &amp; "; friction " &amp; R18 &amp; ".")</x:f>
      </x:c>
    </x:row>
    <x:row r="19" ht="34" customHeight="1">
      <x:c r="A19" s="9" t="n"/>
      <x:c r="B19" s="9" t="n"/>
      <x:c r="C19" s="29" t="n"/>
      <x:c r="D19" s="9" t="n"/>
      <x:c r="E19" s="9" t="n"/>
      <x:c r="F19" s="9" t="n"/>
      <x:c r="G19" s="9" t="n"/>
      <x:c r="H19" s="30">
        <x:f>IF($A19="","",Config!$B$4)</x:f>
      </x:c>
      <x:c r="I19" s="30">
        <x:f>IF($A19="","",IF(C19&gt;Config!$B$5,Config!$B$6,0))</x:f>
      </x:c>
      <x:c r="J19" s="30">
        <x:f>IF($A19="","",IF(F19="Yes",Config!$B$7,0))</x:f>
      </x:c>
      <x:c r="K19" s="30">
        <x:f>IF($A19="","",IF(OR(D19="proposal",D19="negotiation"),Config!$B$8,0))</x:f>
      </x:c>
      <x:c r="L19" s="30">
        <x:f>IF($A19="","",IF(E19&gt;Config!$B$9,Config!$B$10,0))</x:f>
      </x:c>
      <x:c r="M19" s="30">
        <x:f>IF($A19="","",IF(G19&gt;=Config!$B$11,Config!$B$12,0))</x:f>
      </x:c>
      <x:c r="N19" s="30">
        <x:f>IF($A19="","",SUM(H19:M19))</x:f>
      </x:c>
      <x:c r="O19" s="30">
        <x:f>IF($A19="","",MAX(0,MIN(Config!$B$13,N19)))</x:f>
      </x:c>
      <x:c r="P19" s="12">
        <x:f>IF($A19="","",O19/Config!$B$13)</x:f>
      </x:c>
      <x:c r="Q19" s="13">
        <x:f>IF($A19="","",IF(O19&gt;=Config!$B$14,"A",IF(O19&gt;=Config!$B$15,"B","C")))</x:f>
      </x:c>
      <x:c r="R19" s="13">
        <x:f>IF($A19="","",IF(O19&gt;=Config!$B$14,"Low",IF(O19&gt;=Config!$B$15,"Medium","High")))</x:f>
      </x:c>
      <x:c r="S19" s="13">
        <x:f>IF($A19="","",IF(F19="No","Mapear decisor e agendar reunião",IF(E19&gt;Config!$B$9,"Realizar follow-up estruturado",IF(R19="High","Reavaliar estratégia do deal","Avançar para próxima etapa"))))</x:f>
      </x:c>
      <x:c r="T19" s="13">
        <x:f>IF($A19="","","Score " &amp; O19 &amp; "/100; rating " &amp; Q19 &amp; "; friction " &amp; R19 &amp; ".")</x:f>
      </x:c>
    </x:row>
    <x:row r="20" ht="34" customHeight="1">
      <x:c r="A20" s="9" t="n"/>
      <x:c r="B20" s="9" t="n"/>
      <x:c r="C20" s="29" t="n"/>
      <x:c r="D20" s="9" t="n"/>
      <x:c r="E20" s="9" t="n"/>
      <x:c r="F20" s="9" t="n"/>
      <x:c r="G20" s="9" t="n"/>
      <x:c r="H20" s="30">
        <x:f>IF($A20="","",Config!$B$4)</x:f>
      </x:c>
      <x:c r="I20" s="30">
        <x:f>IF($A20="","",IF(C20&gt;Config!$B$5,Config!$B$6,0))</x:f>
      </x:c>
      <x:c r="J20" s="30">
        <x:f>IF($A20="","",IF(F20="Yes",Config!$B$7,0))</x:f>
      </x:c>
      <x:c r="K20" s="30">
        <x:f>IF($A20="","",IF(OR(D20="proposal",D20="negotiation"),Config!$B$8,0))</x:f>
      </x:c>
      <x:c r="L20" s="30">
        <x:f>IF($A20="","",IF(E20&gt;Config!$B$9,Config!$B$10,0))</x:f>
      </x:c>
      <x:c r="M20" s="30">
        <x:f>IF($A20="","",IF(G20&gt;=Config!$B$11,Config!$B$12,0))</x:f>
      </x:c>
      <x:c r="N20" s="30">
        <x:f>IF($A20="","",SUM(H20:M20))</x:f>
      </x:c>
      <x:c r="O20" s="30">
        <x:f>IF($A20="","",MAX(0,MIN(Config!$B$13,N20)))</x:f>
      </x:c>
      <x:c r="P20" s="12">
        <x:f>IF($A20="","",O20/Config!$B$13)</x:f>
      </x:c>
      <x:c r="Q20" s="13">
        <x:f>IF($A20="","",IF(O20&gt;=Config!$B$14,"A",IF(O20&gt;=Config!$B$15,"B","C")))</x:f>
      </x:c>
      <x:c r="R20" s="13">
        <x:f>IF($A20="","",IF(O20&gt;=Config!$B$14,"Low",IF(O20&gt;=Config!$B$15,"Medium","High")))</x:f>
      </x:c>
      <x:c r="S20" s="13">
        <x:f>IF($A20="","",IF(F20="No","Mapear decisor e agendar reunião",IF(E20&gt;Config!$B$9,"Realizar follow-up estruturado",IF(R20="High","Reavaliar estratégia do deal","Avançar para próxima etapa"))))</x:f>
      </x:c>
      <x:c r="T20" s="13">
        <x:f>IF($A20="","","Score " &amp; O20 &amp; "/100; rating " &amp; Q20 &amp; "; friction " &amp; R20 &amp; ".")</x:f>
      </x:c>
    </x:row>
    <x:row r="21" ht="34" customHeight="1">
      <x:c r="A21" s="9" t="n"/>
      <x:c r="B21" s="9" t="n"/>
      <x:c r="C21" s="29" t="n"/>
      <x:c r="D21" s="9" t="n"/>
      <x:c r="E21" s="9" t="n"/>
      <x:c r="F21" s="9" t="n"/>
      <x:c r="G21" s="9" t="n"/>
      <x:c r="H21" s="30">
        <x:f>IF($A21="","",Config!$B$4)</x:f>
      </x:c>
      <x:c r="I21" s="30">
        <x:f>IF($A21="","",IF(C21&gt;Config!$B$5,Config!$B$6,0))</x:f>
      </x:c>
      <x:c r="J21" s="30">
        <x:f>IF($A21="","",IF(F21="Yes",Config!$B$7,0))</x:f>
      </x:c>
      <x:c r="K21" s="30">
        <x:f>IF($A21="","",IF(OR(D21="proposal",D21="negotiation"),Config!$B$8,0))</x:f>
      </x:c>
      <x:c r="L21" s="30">
        <x:f>IF($A21="","",IF(E21&gt;Config!$B$9,Config!$B$10,0))</x:f>
      </x:c>
      <x:c r="M21" s="30">
        <x:f>IF($A21="","",IF(G21&gt;=Config!$B$11,Config!$B$12,0))</x:f>
      </x:c>
      <x:c r="N21" s="30">
        <x:f>IF($A21="","",SUM(H21:M21))</x:f>
      </x:c>
      <x:c r="O21" s="30">
        <x:f>IF($A21="","",MAX(0,MIN(Config!$B$13,N21)))</x:f>
      </x:c>
      <x:c r="P21" s="12">
        <x:f>IF($A21="","",O21/Config!$B$13)</x:f>
      </x:c>
      <x:c r="Q21" s="13">
        <x:f>IF($A21="","",IF(O21&gt;=Config!$B$14,"A",IF(O21&gt;=Config!$B$15,"B","C")))</x:f>
      </x:c>
      <x:c r="R21" s="13">
        <x:f>IF($A21="","",IF(O21&gt;=Config!$B$14,"Low",IF(O21&gt;=Config!$B$15,"Medium","High")))</x:f>
      </x:c>
      <x:c r="S21" s="13">
        <x:f>IF($A21="","",IF(F21="No","Mapear decisor e agendar reunião",IF(E21&gt;Config!$B$9,"Realizar follow-up estruturado",IF(R21="High","Reavaliar estratégia do deal","Avançar para próxima etapa"))))</x:f>
      </x:c>
      <x:c r="T21" s="13">
        <x:f>IF($A21="","","Score " &amp; O21 &amp; "/100; rating " &amp; Q21 &amp; "; friction " &amp; R21 &amp; ".")</x:f>
      </x:c>
    </x:row>
    <x:row r="22" ht="34" customHeight="1">
      <x:c r="A22" s="9" t="n"/>
      <x:c r="B22" s="9" t="n"/>
      <x:c r="C22" s="29" t="n"/>
      <x:c r="D22" s="9" t="n"/>
      <x:c r="E22" s="9" t="n"/>
      <x:c r="F22" s="9" t="n"/>
      <x:c r="G22" s="9" t="n"/>
      <x:c r="H22" s="30">
        <x:f>IF($A22="","",Config!$B$4)</x:f>
      </x:c>
      <x:c r="I22" s="30">
        <x:f>IF($A22="","",IF(C22&gt;Config!$B$5,Config!$B$6,0))</x:f>
      </x:c>
      <x:c r="J22" s="30">
        <x:f>IF($A22="","",IF(F22="Yes",Config!$B$7,0))</x:f>
      </x:c>
      <x:c r="K22" s="30">
        <x:f>IF($A22="","",IF(OR(D22="proposal",D22="negotiation"),Config!$B$8,0))</x:f>
      </x:c>
      <x:c r="L22" s="30">
        <x:f>IF($A22="","",IF(E22&gt;Config!$B$9,Config!$B$10,0))</x:f>
      </x:c>
      <x:c r="M22" s="30">
        <x:f>IF($A22="","",IF(G22&gt;=Config!$B$11,Config!$B$12,0))</x:f>
      </x:c>
      <x:c r="N22" s="30">
        <x:f>IF($A22="","",SUM(H22:M22))</x:f>
      </x:c>
      <x:c r="O22" s="30">
        <x:f>IF($A22="","",MAX(0,MIN(Config!$B$13,N22)))</x:f>
      </x:c>
      <x:c r="P22" s="12">
        <x:f>IF($A22="","",O22/Config!$B$13)</x:f>
      </x:c>
      <x:c r="Q22" s="13">
        <x:f>IF($A22="","",IF(O22&gt;=Config!$B$14,"A",IF(O22&gt;=Config!$B$15,"B","C")))</x:f>
      </x:c>
      <x:c r="R22" s="13">
        <x:f>IF($A22="","",IF(O22&gt;=Config!$B$14,"Low",IF(O22&gt;=Config!$B$15,"Medium","High")))</x:f>
      </x:c>
      <x:c r="S22" s="13">
        <x:f>IF($A22="","",IF(F22="No","Mapear decisor e agendar reunião",IF(E22&gt;Config!$B$9,"Realizar follow-up estruturado",IF(R22="High","Reavaliar estratégia do deal","Avançar para próxima etapa"))))</x:f>
      </x:c>
      <x:c r="T22" s="13">
        <x:f>IF($A22="","","Score " &amp; O22 &amp; "/100; rating " &amp; Q22 &amp; "; friction " &amp; R22 &amp; ".")</x:f>
      </x:c>
    </x:row>
    <x:row r="23" ht="34" customHeight="1">
      <x:c r="A23" s="9" t="n"/>
      <x:c r="B23" s="9" t="n"/>
      <x:c r="C23" s="29" t="n"/>
      <x:c r="D23" s="9" t="n"/>
      <x:c r="E23" s="9" t="n"/>
      <x:c r="F23" s="9" t="n"/>
      <x:c r="G23" s="9" t="n"/>
      <x:c r="H23" s="30">
        <x:f>IF($A23="","",Config!$B$4)</x:f>
      </x:c>
      <x:c r="I23" s="30">
        <x:f>IF($A23="","",IF(C23&gt;Config!$B$5,Config!$B$6,0))</x:f>
      </x:c>
      <x:c r="J23" s="30">
        <x:f>IF($A23="","",IF(F23="Yes",Config!$B$7,0))</x:f>
      </x:c>
      <x:c r="K23" s="30">
        <x:f>IF($A23="","",IF(OR(D23="proposal",D23="negotiation"),Config!$B$8,0))</x:f>
      </x:c>
      <x:c r="L23" s="30">
        <x:f>IF($A23="","",IF(E23&gt;Config!$B$9,Config!$B$10,0))</x:f>
      </x:c>
      <x:c r="M23" s="30">
        <x:f>IF($A23="","",IF(G23&gt;=Config!$B$11,Config!$B$12,0))</x:f>
      </x:c>
      <x:c r="N23" s="30">
        <x:f>IF($A23="","",SUM(H23:M23))</x:f>
      </x:c>
      <x:c r="O23" s="30">
        <x:f>IF($A23="","",MAX(0,MIN(Config!$B$13,N23)))</x:f>
      </x:c>
      <x:c r="P23" s="12">
        <x:f>IF($A23="","",O23/Config!$B$13)</x:f>
      </x:c>
      <x:c r="Q23" s="13">
        <x:f>IF($A23="","",IF(O23&gt;=Config!$B$14,"A",IF(O23&gt;=Config!$B$15,"B","C")))</x:f>
      </x:c>
      <x:c r="R23" s="13">
        <x:f>IF($A23="","",IF(O23&gt;=Config!$B$14,"Low",IF(O23&gt;=Config!$B$15,"Medium","High")))</x:f>
      </x:c>
      <x:c r="S23" s="13">
        <x:f>IF($A23="","",IF(F23="No","Mapear decisor e agendar reunião",IF(E23&gt;Config!$B$9,"Realizar follow-up estruturado",IF(R23="High","Reavaliar estratégia do deal","Avançar para próxima etapa"))))</x:f>
      </x:c>
      <x:c r="T23" s="13">
        <x:f>IF($A23="","","Score " &amp; O23 &amp; "/100; rating " &amp; Q23 &amp; "; friction " &amp; R23 &amp; ".")</x:f>
      </x:c>
    </x:row>
    <x:row r="24" ht="34" customHeight="1">
      <x:c r="A24" s="9" t="n"/>
      <x:c r="B24" s="9" t="n"/>
      <x:c r="C24" s="29" t="n"/>
      <x:c r="D24" s="9" t="n"/>
      <x:c r="E24" s="9" t="n"/>
      <x:c r="F24" s="9" t="n"/>
      <x:c r="G24" s="9" t="n"/>
      <x:c r="H24" s="30">
        <x:f>IF($A24="","",Config!$B$4)</x:f>
      </x:c>
      <x:c r="I24" s="30">
        <x:f>IF($A24="","",IF(C24&gt;Config!$B$5,Config!$B$6,0))</x:f>
      </x:c>
      <x:c r="J24" s="30">
        <x:f>IF($A24="","",IF(F24="Yes",Config!$B$7,0))</x:f>
      </x:c>
      <x:c r="K24" s="30">
        <x:f>IF($A24="","",IF(OR(D24="proposal",D24="negotiation"),Config!$B$8,0))</x:f>
      </x:c>
      <x:c r="L24" s="30">
        <x:f>IF($A24="","",IF(E24&gt;Config!$B$9,Config!$B$10,0))</x:f>
      </x:c>
      <x:c r="M24" s="30">
        <x:f>IF($A24="","",IF(G24&gt;=Config!$B$11,Config!$B$12,0))</x:f>
      </x:c>
      <x:c r="N24" s="30">
        <x:f>IF($A24="","",SUM(H24:M24))</x:f>
      </x:c>
      <x:c r="O24" s="30">
        <x:f>IF($A24="","",MAX(0,MIN(Config!$B$13,N24)))</x:f>
      </x:c>
      <x:c r="P24" s="12">
        <x:f>IF($A24="","",O24/Config!$B$13)</x:f>
      </x:c>
      <x:c r="Q24" s="13">
        <x:f>IF($A24="","",IF(O24&gt;=Config!$B$14,"A",IF(O24&gt;=Config!$B$15,"B","C")))</x:f>
      </x:c>
      <x:c r="R24" s="13">
        <x:f>IF($A24="","",IF(O24&gt;=Config!$B$14,"Low",IF(O24&gt;=Config!$B$15,"Medium","High")))</x:f>
      </x:c>
      <x:c r="S24" s="13">
        <x:f>IF($A24="","",IF(F24="No","Mapear decisor e agendar reunião",IF(E24&gt;Config!$B$9,"Realizar follow-up estruturado",IF(R24="High","Reavaliar estratégia do deal","Avançar para próxima etapa"))))</x:f>
      </x:c>
      <x:c r="T24" s="13">
        <x:f>IF($A24="","","Score " &amp; O24 &amp; "/100; rating " &amp; Q24 &amp; "; friction " &amp; R24 &amp; ".")</x:f>
      </x:c>
    </x:row>
    <x:row r="25" ht="34" customHeight="1">
      <x:c r="A25" s="9" t="n"/>
      <x:c r="B25" s="9" t="n"/>
      <x:c r="C25" s="29" t="n"/>
      <x:c r="D25" s="9" t="n"/>
      <x:c r="E25" s="9" t="n"/>
      <x:c r="F25" s="9" t="n"/>
      <x:c r="G25" s="9" t="n"/>
      <x:c r="H25" s="30">
        <x:f>IF($A25="","",Config!$B$4)</x:f>
      </x:c>
      <x:c r="I25" s="30">
        <x:f>IF($A25="","",IF(C25&gt;Config!$B$5,Config!$B$6,0))</x:f>
      </x:c>
      <x:c r="J25" s="30">
        <x:f>IF($A25="","",IF(F25="Yes",Config!$B$7,0))</x:f>
      </x:c>
      <x:c r="K25" s="30">
        <x:f>IF($A25="","",IF(OR(D25="proposal",D25="negotiation"),Config!$B$8,0))</x:f>
      </x:c>
      <x:c r="L25" s="30">
        <x:f>IF($A25="","",IF(E25&gt;Config!$B$9,Config!$B$10,0))</x:f>
      </x:c>
      <x:c r="M25" s="30">
        <x:f>IF($A25="","",IF(G25&gt;=Config!$B$11,Config!$B$12,0))</x:f>
      </x:c>
      <x:c r="N25" s="30">
        <x:f>IF($A25="","",SUM(H25:M25))</x:f>
      </x:c>
      <x:c r="O25" s="30">
        <x:f>IF($A25="","",MAX(0,MIN(Config!$B$13,N25)))</x:f>
      </x:c>
      <x:c r="P25" s="12">
        <x:f>IF($A25="","",O25/Config!$B$13)</x:f>
      </x:c>
      <x:c r="Q25" s="13">
        <x:f>IF($A25="","",IF(O25&gt;=Config!$B$14,"A",IF(O25&gt;=Config!$B$15,"B","C")))</x:f>
      </x:c>
      <x:c r="R25" s="13">
        <x:f>IF($A25="","",IF(O25&gt;=Config!$B$14,"Low",IF(O25&gt;=Config!$B$15,"Medium","High")))</x:f>
      </x:c>
      <x:c r="S25" s="13">
        <x:f>IF($A25="","",IF(F25="No","Mapear decisor e agendar reunião",IF(E25&gt;Config!$B$9,"Realizar follow-up estruturado",IF(R25="High","Reavaliar estratégia do deal","Avançar para próxima etapa"))))</x:f>
      </x:c>
      <x:c r="T25" s="13">
        <x:f>IF($A25="","","Score " &amp; O25 &amp; "/100; rating " &amp; Q25 &amp; "; friction " &amp; R25 &amp; ".")</x:f>
      </x:c>
    </x:row>
    <x:row r="26" ht="34" customHeight="1">
      <x:c r="A26" s="9" t="n"/>
      <x:c r="B26" s="9" t="n"/>
      <x:c r="C26" s="29" t="n"/>
      <x:c r="D26" s="9" t="n"/>
      <x:c r="E26" s="9" t="n"/>
      <x:c r="F26" s="9" t="n"/>
      <x:c r="G26" s="9" t="n"/>
      <x:c r="H26" s="30">
        <x:f>IF($A26="","",Config!$B$4)</x:f>
      </x:c>
      <x:c r="I26" s="30">
        <x:f>IF($A26="","",IF(C26&gt;Config!$B$5,Config!$B$6,0))</x:f>
      </x:c>
      <x:c r="J26" s="30">
        <x:f>IF($A26="","",IF(F26="Yes",Config!$B$7,0))</x:f>
      </x:c>
      <x:c r="K26" s="30">
        <x:f>IF($A26="","",IF(OR(D26="proposal",D26="negotiation"),Config!$B$8,0))</x:f>
      </x:c>
      <x:c r="L26" s="30">
        <x:f>IF($A26="","",IF(E26&gt;Config!$B$9,Config!$B$10,0))</x:f>
      </x:c>
      <x:c r="M26" s="30">
        <x:f>IF($A26="","",IF(G26&gt;=Config!$B$11,Config!$B$12,0))</x:f>
      </x:c>
      <x:c r="N26" s="30">
        <x:f>IF($A26="","",SUM(H26:M26))</x:f>
      </x:c>
      <x:c r="O26" s="30">
        <x:f>IF($A26="","",MAX(0,MIN(Config!$B$13,N26)))</x:f>
      </x:c>
      <x:c r="P26" s="12">
        <x:f>IF($A26="","",O26/Config!$B$13)</x:f>
      </x:c>
      <x:c r="Q26" s="13">
        <x:f>IF($A26="","",IF(O26&gt;=Config!$B$14,"A",IF(O26&gt;=Config!$B$15,"B","C")))</x:f>
      </x:c>
      <x:c r="R26" s="13">
        <x:f>IF($A26="","",IF(O26&gt;=Config!$B$14,"Low",IF(O26&gt;=Config!$B$15,"Medium","High")))</x:f>
      </x:c>
      <x:c r="S26" s="13">
        <x:f>IF($A26="","",IF(F26="No","Mapear decisor e agendar reunião",IF(E26&gt;Config!$B$9,"Realizar follow-up estruturado",IF(R26="High","Reavaliar estratégia do deal","Avançar para próxima etapa"))))</x:f>
      </x:c>
      <x:c r="T26" s="13">
        <x:f>IF($A26="","","Score " &amp; O26 &amp; "/100; rating " &amp; Q26 &amp; "; friction " &amp; R26 &amp; ".")</x:f>
      </x:c>
    </x:row>
    <x:row r="27" ht="34" customHeight="1">
      <x:c r="A27" s="9" t="n"/>
      <x:c r="B27" s="9" t="n"/>
      <x:c r="C27" s="29" t="n"/>
      <x:c r="D27" s="9" t="n"/>
      <x:c r="E27" s="9" t="n"/>
      <x:c r="F27" s="9" t="n"/>
      <x:c r="G27" s="9" t="n"/>
      <x:c r="H27" s="30">
        <x:f>IF($A27="","",Config!$B$4)</x:f>
      </x:c>
      <x:c r="I27" s="30">
        <x:f>IF($A27="","",IF(C27&gt;Config!$B$5,Config!$B$6,0))</x:f>
      </x:c>
      <x:c r="J27" s="30">
        <x:f>IF($A27="","",IF(F27="Yes",Config!$B$7,0))</x:f>
      </x:c>
      <x:c r="K27" s="30">
        <x:f>IF($A27="","",IF(OR(D27="proposal",D27="negotiation"),Config!$B$8,0))</x:f>
      </x:c>
      <x:c r="L27" s="30">
        <x:f>IF($A27="","",IF(E27&gt;Config!$B$9,Config!$B$10,0))</x:f>
      </x:c>
      <x:c r="M27" s="30">
        <x:f>IF($A27="","",IF(G27&gt;=Config!$B$11,Config!$B$12,0))</x:f>
      </x:c>
      <x:c r="N27" s="30">
        <x:f>IF($A27="","",SUM(H27:M27))</x:f>
      </x:c>
      <x:c r="O27" s="30">
        <x:f>IF($A27="","",MAX(0,MIN(Config!$B$13,N27)))</x:f>
      </x:c>
      <x:c r="P27" s="12">
        <x:f>IF($A27="","",O27/Config!$B$13)</x:f>
      </x:c>
      <x:c r="Q27" s="13">
        <x:f>IF($A27="","",IF(O27&gt;=Config!$B$14,"A",IF(O27&gt;=Config!$B$15,"B","C")))</x:f>
      </x:c>
      <x:c r="R27" s="13">
        <x:f>IF($A27="","",IF(O27&gt;=Config!$B$14,"Low",IF(O27&gt;=Config!$B$15,"Medium","High")))</x:f>
      </x:c>
      <x:c r="S27" s="13">
        <x:f>IF($A27="","",IF(F27="No","Mapear decisor e agendar reunião",IF(E27&gt;Config!$B$9,"Realizar follow-up estruturado",IF(R27="High","Reavaliar estratégia do deal","Avançar para próxima etapa"))))</x:f>
      </x:c>
      <x:c r="T27" s="13">
        <x:f>IF($A27="","","Score " &amp; O27 &amp; "/100; rating " &amp; Q27 &amp; "; friction " &amp; R27 &amp; ".")</x:f>
      </x:c>
    </x:row>
    <x:row r="28" ht="34" customHeight="1">
      <x:c r="A28" s="9" t="n"/>
      <x:c r="B28" s="9" t="n"/>
      <x:c r="C28" s="29" t="n"/>
      <x:c r="D28" s="9" t="n"/>
      <x:c r="E28" s="9" t="n"/>
      <x:c r="F28" s="9" t="n"/>
      <x:c r="G28" s="9" t="n"/>
      <x:c r="H28" s="30">
        <x:f>IF($A28="","",Config!$B$4)</x:f>
      </x:c>
      <x:c r="I28" s="30">
        <x:f>IF($A28="","",IF(C28&gt;Config!$B$5,Config!$B$6,0))</x:f>
      </x:c>
      <x:c r="J28" s="30">
        <x:f>IF($A28="","",IF(F28="Yes",Config!$B$7,0))</x:f>
      </x:c>
      <x:c r="K28" s="30">
        <x:f>IF($A28="","",IF(OR(D28="proposal",D28="negotiation"),Config!$B$8,0))</x:f>
      </x:c>
      <x:c r="L28" s="30">
        <x:f>IF($A28="","",IF(E28&gt;Config!$B$9,Config!$B$10,0))</x:f>
      </x:c>
      <x:c r="M28" s="30">
        <x:f>IF($A28="","",IF(G28&gt;=Config!$B$11,Config!$B$12,0))</x:f>
      </x:c>
      <x:c r="N28" s="30">
        <x:f>IF($A28="","",SUM(H28:M28))</x:f>
      </x:c>
      <x:c r="O28" s="30">
        <x:f>IF($A28="","",MAX(0,MIN(Config!$B$13,N28)))</x:f>
      </x:c>
      <x:c r="P28" s="12">
        <x:f>IF($A28="","",O28/Config!$B$13)</x:f>
      </x:c>
      <x:c r="Q28" s="13">
        <x:f>IF($A28="","",IF(O28&gt;=Config!$B$14,"A",IF(O28&gt;=Config!$B$15,"B","C")))</x:f>
      </x:c>
      <x:c r="R28" s="13">
        <x:f>IF($A28="","",IF(O28&gt;=Config!$B$14,"Low",IF(O28&gt;=Config!$B$15,"Medium","High")))</x:f>
      </x:c>
      <x:c r="S28" s="13">
        <x:f>IF($A28="","",IF(F28="No","Mapear decisor e agendar reunião",IF(E28&gt;Config!$B$9,"Realizar follow-up estruturado",IF(R28="High","Reavaliar estratégia do deal","Avançar para próxima etapa"))))</x:f>
      </x:c>
      <x:c r="T28" s="13">
        <x:f>IF($A28="","","Score " &amp; O28 &amp; "/100; rating " &amp; Q28 &amp; "; friction " &amp; R28 &amp; ".")</x:f>
      </x:c>
    </x:row>
    <x:row r="29" ht="34" customHeight="1">
      <x:c r="A29" s="9" t="n"/>
      <x:c r="B29" s="9" t="n"/>
      <x:c r="C29" s="29" t="n"/>
      <x:c r="D29" s="9" t="n"/>
      <x:c r="E29" s="9" t="n"/>
      <x:c r="F29" s="9" t="n"/>
      <x:c r="G29" s="9" t="n"/>
      <x:c r="H29" s="30">
        <x:f>IF($A29="","",Config!$B$4)</x:f>
      </x:c>
      <x:c r="I29" s="30">
        <x:f>IF($A29="","",IF(C29&gt;Config!$B$5,Config!$B$6,0))</x:f>
      </x:c>
      <x:c r="J29" s="30">
        <x:f>IF($A29="","",IF(F29="Yes",Config!$B$7,0))</x:f>
      </x:c>
      <x:c r="K29" s="30">
        <x:f>IF($A29="","",IF(OR(D29="proposal",D29="negotiation"),Config!$B$8,0))</x:f>
      </x:c>
      <x:c r="L29" s="30">
        <x:f>IF($A29="","",IF(E29&gt;Config!$B$9,Config!$B$10,0))</x:f>
      </x:c>
      <x:c r="M29" s="30">
        <x:f>IF($A29="","",IF(G29&gt;=Config!$B$11,Config!$B$12,0))</x:f>
      </x:c>
      <x:c r="N29" s="30">
        <x:f>IF($A29="","",SUM(H29:M29))</x:f>
      </x:c>
      <x:c r="O29" s="30">
        <x:f>IF($A29="","",MAX(0,MIN(Config!$B$13,N29)))</x:f>
      </x:c>
      <x:c r="P29" s="12">
        <x:f>IF($A29="","",O29/Config!$B$13)</x:f>
      </x:c>
      <x:c r="Q29" s="13">
        <x:f>IF($A29="","",IF(O29&gt;=Config!$B$14,"A",IF(O29&gt;=Config!$B$15,"B","C")))</x:f>
      </x:c>
      <x:c r="R29" s="13">
        <x:f>IF($A29="","",IF(O29&gt;=Config!$B$14,"Low",IF(O29&gt;=Config!$B$15,"Medium","High")))</x:f>
      </x:c>
      <x:c r="S29" s="13">
        <x:f>IF($A29="","",IF(F29="No","Mapear decisor e agendar reunião",IF(E29&gt;Config!$B$9,"Realizar follow-up estruturado",IF(R29="High","Reavaliar estratégia do deal","Avançar para próxima etapa"))))</x:f>
      </x:c>
      <x:c r="T29" s="13">
        <x:f>IF($A29="","","Score " &amp; O29 &amp; "/100; rating " &amp; Q29 &amp; "; friction " &amp; R29 &amp; ".")</x:f>
      </x:c>
    </x:row>
    <x:row r="30" ht="34" customHeight="1">
      <x:c r="A30" s="9" t="n"/>
      <x:c r="B30" s="9" t="n"/>
      <x:c r="C30" s="29" t="n"/>
      <x:c r="D30" s="9" t="n"/>
      <x:c r="E30" s="9" t="n"/>
      <x:c r="F30" s="9" t="n"/>
      <x:c r="G30" s="9" t="n"/>
      <x:c r="H30" s="30">
        <x:f>IF($A30="","",Config!$B$4)</x:f>
      </x:c>
      <x:c r="I30" s="30">
        <x:f>IF($A30="","",IF(C30&gt;Config!$B$5,Config!$B$6,0))</x:f>
      </x:c>
      <x:c r="J30" s="30">
        <x:f>IF($A30="","",IF(F30="Yes",Config!$B$7,0))</x:f>
      </x:c>
      <x:c r="K30" s="30">
        <x:f>IF($A30="","",IF(OR(D30="proposal",D30="negotiation"),Config!$B$8,0))</x:f>
      </x:c>
      <x:c r="L30" s="30">
        <x:f>IF($A30="","",IF(E30&gt;Config!$B$9,Config!$B$10,0))</x:f>
      </x:c>
      <x:c r="M30" s="30">
        <x:f>IF($A30="","",IF(G30&gt;=Config!$B$11,Config!$B$12,0))</x:f>
      </x:c>
      <x:c r="N30" s="30">
        <x:f>IF($A30="","",SUM(H30:M30))</x:f>
      </x:c>
      <x:c r="O30" s="30">
        <x:f>IF($A30="","",MAX(0,MIN(Config!$B$13,N30)))</x:f>
      </x:c>
      <x:c r="P30" s="12">
        <x:f>IF($A30="","",O30/Config!$B$13)</x:f>
      </x:c>
      <x:c r="Q30" s="13">
        <x:f>IF($A30="","",IF(O30&gt;=Config!$B$14,"A",IF(O30&gt;=Config!$B$15,"B","C")))</x:f>
      </x:c>
      <x:c r="R30" s="13">
        <x:f>IF($A30="","",IF(O30&gt;=Config!$B$14,"Low",IF(O30&gt;=Config!$B$15,"Medium","High")))</x:f>
      </x:c>
      <x:c r="S30" s="13">
        <x:f>IF($A30="","",IF(F30="No","Mapear decisor e agendar reunião",IF(E30&gt;Config!$B$9,"Realizar follow-up estruturado",IF(R30="High","Reavaliar estratégia do deal","Avançar para próxima etapa"))))</x:f>
      </x:c>
      <x:c r="T30" s="13">
        <x:f>IF($A30="","","Score " &amp; O30 &amp; "/100; rating " &amp; Q30 &amp; "; friction " &amp; R30 &amp; ".")</x:f>
      </x:c>
    </x:row>
    <x:row r="31" ht="34" customHeight="1">
      <x:c r="A31" s="9" t="n"/>
      <x:c r="B31" s="9" t="n"/>
      <x:c r="C31" s="29" t="n"/>
      <x:c r="D31" s="9" t="n"/>
      <x:c r="E31" s="9" t="n"/>
      <x:c r="F31" s="9" t="n"/>
      <x:c r="G31" s="9" t="n"/>
      <x:c r="H31" s="30">
        <x:f>IF($A31="","",Config!$B$4)</x:f>
      </x:c>
      <x:c r="I31" s="30">
        <x:f>IF($A31="","",IF(C31&gt;Config!$B$5,Config!$B$6,0))</x:f>
      </x:c>
      <x:c r="J31" s="30">
        <x:f>IF($A31="","",IF(F31="Yes",Config!$B$7,0))</x:f>
      </x:c>
      <x:c r="K31" s="30">
        <x:f>IF($A31="","",IF(OR(D31="proposal",D31="negotiation"),Config!$B$8,0))</x:f>
      </x:c>
      <x:c r="L31" s="30">
        <x:f>IF($A31="","",IF(E31&gt;Config!$B$9,Config!$B$10,0))</x:f>
      </x:c>
      <x:c r="M31" s="30">
        <x:f>IF($A31="","",IF(G31&gt;=Config!$B$11,Config!$B$12,0))</x:f>
      </x:c>
      <x:c r="N31" s="30">
        <x:f>IF($A31="","",SUM(H31:M31))</x:f>
      </x:c>
      <x:c r="O31" s="30">
        <x:f>IF($A31="","",MAX(0,MIN(Config!$B$13,N31)))</x:f>
      </x:c>
      <x:c r="P31" s="12">
        <x:f>IF($A31="","",O31/Config!$B$13)</x:f>
      </x:c>
      <x:c r="Q31" s="13">
        <x:f>IF($A31="","",IF(O31&gt;=Config!$B$14,"A",IF(O31&gt;=Config!$B$15,"B","C")))</x:f>
      </x:c>
      <x:c r="R31" s="13">
        <x:f>IF($A31="","",IF(O31&gt;=Config!$B$14,"Low",IF(O31&gt;=Config!$B$15,"Medium","High")))</x:f>
      </x:c>
      <x:c r="S31" s="13">
        <x:f>IF($A31="","",IF(F31="No","Mapear decisor e agendar reunião",IF(E31&gt;Config!$B$9,"Realizar follow-up estruturado",IF(R31="High","Reavaliar estratégia do deal","Avançar para próxima etapa"))))</x:f>
      </x:c>
      <x:c r="T31" s="13">
        <x:f>IF($A31="","","Score " &amp; O31 &amp; "/100; rating " &amp; Q31 &amp; "; friction " &amp; R31 &amp; ".")</x:f>
      </x:c>
    </x:row>
    <x:row r="32" ht="34" customHeight="1">
      <x:c r="A32" s="9" t="n"/>
      <x:c r="B32" s="9" t="n"/>
      <x:c r="C32" s="29" t="n"/>
      <x:c r="D32" s="9" t="n"/>
      <x:c r="E32" s="9" t="n"/>
      <x:c r="F32" s="9" t="n"/>
      <x:c r="G32" s="9" t="n"/>
      <x:c r="H32" s="30">
        <x:f>IF($A32="","",Config!$B$4)</x:f>
      </x:c>
      <x:c r="I32" s="30">
        <x:f>IF($A32="","",IF(C32&gt;Config!$B$5,Config!$B$6,0))</x:f>
      </x:c>
      <x:c r="J32" s="30">
        <x:f>IF($A32="","",IF(F32="Yes",Config!$B$7,0))</x:f>
      </x:c>
      <x:c r="K32" s="30">
        <x:f>IF($A32="","",IF(OR(D32="proposal",D32="negotiation"),Config!$B$8,0))</x:f>
      </x:c>
      <x:c r="L32" s="30">
        <x:f>IF($A32="","",IF(E32&gt;Config!$B$9,Config!$B$10,0))</x:f>
      </x:c>
      <x:c r="M32" s="30">
        <x:f>IF($A32="","",IF(G32&gt;=Config!$B$11,Config!$B$12,0))</x:f>
      </x:c>
      <x:c r="N32" s="30">
        <x:f>IF($A32="","",SUM(H32:M32))</x:f>
      </x:c>
      <x:c r="O32" s="30">
        <x:f>IF($A32="","",MAX(0,MIN(Config!$B$13,N32)))</x:f>
      </x:c>
      <x:c r="P32" s="12">
        <x:f>IF($A32="","",O32/Config!$B$13)</x:f>
      </x:c>
      <x:c r="Q32" s="13">
        <x:f>IF($A32="","",IF(O32&gt;=Config!$B$14,"A",IF(O32&gt;=Config!$B$15,"B","C")))</x:f>
      </x:c>
      <x:c r="R32" s="13">
        <x:f>IF($A32="","",IF(O32&gt;=Config!$B$14,"Low",IF(O32&gt;=Config!$B$15,"Medium","High")))</x:f>
      </x:c>
      <x:c r="S32" s="13">
        <x:f>IF($A32="","",IF(F32="No","Mapear decisor e agendar reunião",IF(E32&gt;Config!$B$9,"Realizar follow-up estruturado",IF(R32="High","Reavaliar estratégia do deal","Avançar para próxima etapa"))))</x:f>
      </x:c>
      <x:c r="T32" s="13">
        <x:f>IF($A32="","","Score " &amp; O32 &amp; "/100; rating " &amp; Q32 &amp; "; friction " &amp; R32 &amp; ".")</x:f>
      </x:c>
    </x:row>
    <x:row r="33" ht="34" customHeight="1">
      <x:c r="A33" s="9" t="n"/>
      <x:c r="B33" s="9" t="n"/>
      <x:c r="C33" s="29" t="n"/>
      <x:c r="D33" s="9" t="n"/>
      <x:c r="E33" s="9" t="n"/>
      <x:c r="F33" s="9" t="n"/>
      <x:c r="G33" s="9" t="n"/>
      <x:c r="H33" s="30">
        <x:f>IF($A33="","",Config!$B$4)</x:f>
      </x:c>
      <x:c r="I33" s="30">
        <x:f>IF($A33="","",IF(C33&gt;Config!$B$5,Config!$B$6,0))</x:f>
      </x:c>
      <x:c r="J33" s="30">
        <x:f>IF($A33="","",IF(F33="Yes",Config!$B$7,0))</x:f>
      </x:c>
      <x:c r="K33" s="30">
        <x:f>IF($A33="","",IF(OR(D33="proposal",D33="negotiation"),Config!$B$8,0))</x:f>
      </x:c>
      <x:c r="L33" s="30">
        <x:f>IF($A33="","",IF(E33&gt;Config!$B$9,Config!$B$10,0))</x:f>
      </x:c>
      <x:c r="M33" s="30">
        <x:f>IF($A33="","",IF(G33&gt;=Config!$B$11,Config!$B$12,0))</x:f>
      </x:c>
      <x:c r="N33" s="30">
        <x:f>IF($A33="","",SUM(H33:M33))</x:f>
      </x:c>
      <x:c r="O33" s="30">
        <x:f>IF($A33="","",MAX(0,MIN(Config!$B$13,N33)))</x:f>
      </x:c>
      <x:c r="P33" s="12">
        <x:f>IF($A33="","",O33/Config!$B$13)</x:f>
      </x:c>
      <x:c r="Q33" s="13">
        <x:f>IF($A33="","",IF(O33&gt;=Config!$B$14,"A",IF(O33&gt;=Config!$B$15,"B","C")))</x:f>
      </x:c>
      <x:c r="R33" s="13">
        <x:f>IF($A33="","",IF(O33&gt;=Config!$B$14,"Low",IF(O33&gt;=Config!$B$15,"Medium","High")))</x:f>
      </x:c>
      <x:c r="S33" s="13">
        <x:f>IF($A33="","",IF(F33="No","Mapear decisor e agendar reunião",IF(E33&gt;Config!$B$9,"Realizar follow-up estruturado",IF(R33="High","Reavaliar estratégia do deal","Avançar para próxima etapa"))))</x:f>
      </x:c>
      <x:c r="T33" s="13">
        <x:f>IF($A33="","","Score " &amp; O33 &amp; "/100; rating " &amp; Q33 &amp; "; friction " &amp; R33 &amp; ".")</x:f>
      </x:c>
    </x:row>
    <x:row r="34" ht="34" customHeight="1">
      <x:c r="A34" s="9" t="n"/>
      <x:c r="B34" s="9" t="n"/>
      <x:c r="C34" s="29" t="n"/>
      <x:c r="D34" s="9" t="n"/>
      <x:c r="E34" s="9" t="n"/>
      <x:c r="F34" s="9" t="n"/>
      <x:c r="G34" s="9" t="n"/>
      <x:c r="H34" s="30">
        <x:f>IF($A34="","",Config!$B$4)</x:f>
      </x:c>
      <x:c r="I34" s="30">
        <x:f>IF($A34="","",IF(C34&gt;Config!$B$5,Config!$B$6,0))</x:f>
      </x:c>
      <x:c r="J34" s="30">
        <x:f>IF($A34="","",IF(F34="Yes",Config!$B$7,0))</x:f>
      </x:c>
      <x:c r="K34" s="30">
        <x:f>IF($A34="","",IF(OR(D34="proposal",D34="negotiation"),Config!$B$8,0))</x:f>
      </x:c>
      <x:c r="L34" s="30">
        <x:f>IF($A34="","",IF(E34&gt;Config!$B$9,Config!$B$10,0))</x:f>
      </x:c>
      <x:c r="M34" s="30">
        <x:f>IF($A34="","",IF(G34&gt;=Config!$B$11,Config!$B$12,0))</x:f>
      </x:c>
      <x:c r="N34" s="30">
        <x:f>IF($A34="","",SUM(H34:M34))</x:f>
      </x:c>
      <x:c r="O34" s="30">
        <x:f>IF($A34="","",MAX(0,MIN(Config!$B$13,N34)))</x:f>
      </x:c>
      <x:c r="P34" s="12">
        <x:f>IF($A34="","",O34/Config!$B$13)</x:f>
      </x:c>
      <x:c r="Q34" s="13">
        <x:f>IF($A34="","",IF(O34&gt;=Config!$B$14,"A",IF(O34&gt;=Config!$B$15,"B","C")))</x:f>
      </x:c>
      <x:c r="R34" s="13">
        <x:f>IF($A34="","",IF(O34&gt;=Config!$B$14,"Low",IF(O34&gt;=Config!$B$15,"Medium","High")))</x:f>
      </x:c>
      <x:c r="S34" s="13">
        <x:f>IF($A34="","",IF(F34="No","Mapear decisor e agendar reunião",IF(E34&gt;Config!$B$9,"Realizar follow-up estruturado",IF(R34="High","Reavaliar estratégia do deal","Avançar para próxima etapa"))))</x:f>
      </x:c>
      <x:c r="T34" s="13">
        <x:f>IF($A34="","","Score " &amp; O34 &amp; "/100; rating " &amp; Q34 &amp; "; friction " &amp; R34 &amp; ".")</x:f>
      </x:c>
    </x:row>
    <x:row r="35" ht="34" customHeight="1">
      <x:c r="A35" s="9" t="n"/>
      <x:c r="B35" s="9" t="n"/>
      <x:c r="C35" s="29" t="n"/>
      <x:c r="D35" s="9" t="n"/>
      <x:c r="E35" s="9" t="n"/>
      <x:c r="F35" s="9" t="n"/>
      <x:c r="G35" s="9" t="n"/>
      <x:c r="H35" s="30">
        <x:f>IF($A35="","",Config!$B$4)</x:f>
      </x:c>
      <x:c r="I35" s="30">
        <x:f>IF($A35="","",IF(C35&gt;Config!$B$5,Config!$B$6,0))</x:f>
      </x:c>
      <x:c r="J35" s="30">
        <x:f>IF($A35="","",IF(F35="Yes",Config!$B$7,0))</x:f>
      </x:c>
      <x:c r="K35" s="30">
        <x:f>IF($A35="","",IF(OR(D35="proposal",D35="negotiation"),Config!$B$8,0))</x:f>
      </x:c>
      <x:c r="L35" s="30">
        <x:f>IF($A35="","",IF(E35&gt;Config!$B$9,Config!$B$10,0))</x:f>
      </x:c>
      <x:c r="M35" s="30">
        <x:f>IF($A35="","",IF(G35&gt;=Config!$B$11,Config!$B$12,0))</x:f>
      </x:c>
      <x:c r="N35" s="30">
        <x:f>IF($A35="","",SUM(H35:M35))</x:f>
      </x:c>
      <x:c r="O35" s="30">
        <x:f>IF($A35="","",MAX(0,MIN(Config!$B$13,N35)))</x:f>
      </x:c>
      <x:c r="P35" s="12">
        <x:f>IF($A35="","",O35/Config!$B$13)</x:f>
      </x:c>
      <x:c r="Q35" s="13">
        <x:f>IF($A35="","",IF(O35&gt;=Config!$B$14,"A",IF(O35&gt;=Config!$B$15,"B","C")))</x:f>
      </x:c>
      <x:c r="R35" s="13">
        <x:f>IF($A35="","",IF(O35&gt;=Config!$B$14,"Low",IF(O35&gt;=Config!$B$15,"Medium","High")))</x:f>
      </x:c>
      <x:c r="S35" s="13">
        <x:f>IF($A35="","",IF(F35="No","Mapear decisor e agendar reunião",IF(E35&gt;Config!$B$9,"Realizar follow-up estruturado",IF(R35="High","Reavaliar estratégia do deal","Avançar para próxima etapa"))))</x:f>
      </x:c>
      <x:c r="T35" s="13">
        <x:f>IF($A35="","","Score " &amp; O35 &amp; "/100; rating " &amp; Q35 &amp; "; friction " &amp; R35 &amp; ".")</x:f>
      </x:c>
    </x:row>
    <x:row r="36" ht="34" customHeight="1">
      <x:c r="A36" s="9" t="n"/>
      <x:c r="B36" s="9" t="n"/>
      <x:c r="C36" s="29" t="n"/>
      <x:c r="D36" s="9" t="n"/>
      <x:c r="E36" s="9" t="n"/>
      <x:c r="F36" s="9" t="n"/>
      <x:c r="G36" s="9" t="n"/>
      <x:c r="H36" s="30">
        <x:f>IF($A36="","",Config!$B$4)</x:f>
      </x:c>
      <x:c r="I36" s="30">
        <x:f>IF($A36="","",IF(C36&gt;Config!$B$5,Config!$B$6,0))</x:f>
      </x:c>
      <x:c r="J36" s="30">
        <x:f>IF($A36="","",IF(F36="Yes",Config!$B$7,0))</x:f>
      </x:c>
      <x:c r="K36" s="30">
        <x:f>IF($A36="","",IF(OR(D36="proposal",D36="negotiation"),Config!$B$8,0))</x:f>
      </x:c>
      <x:c r="L36" s="30">
        <x:f>IF($A36="","",IF(E36&gt;Config!$B$9,Config!$B$10,0))</x:f>
      </x:c>
      <x:c r="M36" s="30">
        <x:f>IF($A36="","",IF(G36&gt;=Config!$B$11,Config!$B$12,0))</x:f>
      </x:c>
      <x:c r="N36" s="30">
        <x:f>IF($A36="","",SUM(H36:M36))</x:f>
      </x:c>
      <x:c r="O36" s="30">
        <x:f>IF($A36="","",MAX(0,MIN(Config!$B$13,N36)))</x:f>
      </x:c>
      <x:c r="P36" s="12">
        <x:f>IF($A36="","",O36/Config!$B$13)</x:f>
      </x:c>
      <x:c r="Q36" s="13">
        <x:f>IF($A36="","",IF(O36&gt;=Config!$B$14,"A",IF(O36&gt;=Config!$B$15,"B","C")))</x:f>
      </x:c>
      <x:c r="R36" s="13">
        <x:f>IF($A36="","",IF(O36&gt;=Config!$B$14,"Low",IF(O36&gt;=Config!$B$15,"Medium","High")))</x:f>
      </x:c>
      <x:c r="S36" s="13">
        <x:f>IF($A36="","",IF(F36="No","Mapear decisor e agendar reunião",IF(E36&gt;Config!$B$9,"Realizar follow-up estruturado",IF(R36="High","Reavaliar estratégia do deal","Avançar para próxima etapa"))))</x:f>
      </x:c>
      <x:c r="T36" s="13">
        <x:f>IF($A36="","","Score " &amp; O36 &amp; "/100; rating " &amp; Q36 &amp; "; friction " &amp; R36 &amp; ".")</x:f>
      </x:c>
    </x:row>
    <x:row r="37" ht="34" customHeight="1">
      <x:c r="A37" s="9" t="n"/>
      <x:c r="B37" s="9" t="n"/>
      <x:c r="C37" s="29" t="n"/>
      <x:c r="D37" s="9" t="n"/>
      <x:c r="E37" s="9" t="n"/>
      <x:c r="F37" s="9" t="n"/>
      <x:c r="G37" s="9" t="n"/>
      <x:c r="H37" s="30">
        <x:f>IF($A37="","",Config!$B$4)</x:f>
      </x:c>
      <x:c r="I37" s="30">
        <x:f>IF($A37="","",IF(C37&gt;Config!$B$5,Config!$B$6,0))</x:f>
      </x:c>
      <x:c r="J37" s="30">
        <x:f>IF($A37="","",IF(F37="Yes",Config!$B$7,0))</x:f>
      </x:c>
      <x:c r="K37" s="30">
        <x:f>IF($A37="","",IF(OR(D37="proposal",D37="negotiation"),Config!$B$8,0))</x:f>
      </x:c>
      <x:c r="L37" s="30">
        <x:f>IF($A37="","",IF(E37&gt;Config!$B$9,Config!$B$10,0))</x:f>
      </x:c>
      <x:c r="M37" s="30">
        <x:f>IF($A37="","",IF(G37&gt;=Config!$B$11,Config!$B$12,0))</x:f>
      </x:c>
      <x:c r="N37" s="30">
        <x:f>IF($A37="","",SUM(H37:M37))</x:f>
      </x:c>
      <x:c r="O37" s="30">
        <x:f>IF($A37="","",MAX(0,MIN(Config!$B$13,N37)))</x:f>
      </x:c>
      <x:c r="P37" s="12">
        <x:f>IF($A37="","",O37/Config!$B$13)</x:f>
      </x:c>
      <x:c r="Q37" s="13">
        <x:f>IF($A37="","",IF(O37&gt;=Config!$B$14,"A",IF(O37&gt;=Config!$B$15,"B","C")))</x:f>
      </x:c>
      <x:c r="R37" s="13">
        <x:f>IF($A37="","",IF(O37&gt;=Config!$B$14,"Low",IF(O37&gt;=Config!$B$15,"Medium","High")))</x:f>
      </x:c>
      <x:c r="S37" s="13">
        <x:f>IF($A37="","",IF(F37="No","Mapear decisor e agendar reunião",IF(E37&gt;Config!$B$9,"Realizar follow-up estruturado",IF(R37="High","Reavaliar estratégia do deal","Avançar para próxima etapa"))))</x:f>
      </x:c>
      <x:c r="T37" s="13">
        <x:f>IF($A37="","","Score " &amp; O37 &amp; "/100; rating " &amp; Q37 &amp; "; friction " &amp; R37 &amp; ".")</x:f>
      </x:c>
    </x:row>
    <x:row r="38" ht="34" customHeight="1">
      <x:c r="A38" s="9" t="n"/>
      <x:c r="B38" s="9" t="n"/>
      <x:c r="C38" s="29" t="n"/>
      <x:c r="D38" s="9" t="n"/>
      <x:c r="E38" s="9" t="n"/>
      <x:c r="F38" s="9" t="n"/>
      <x:c r="G38" s="9" t="n"/>
      <x:c r="H38" s="30">
        <x:f>IF($A38="","",Config!$B$4)</x:f>
      </x:c>
      <x:c r="I38" s="30">
        <x:f>IF($A38="","",IF(C38&gt;Config!$B$5,Config!$B$6,0))</x:f>
      </x:c>
      <x:c r="J38" s="30">
        <x:f>IF($A38="","",IF(F38="Yes",Config!$B$7,0))</x:f>
      </x:c>
      <x:c r="K38" s="30">
        <x:f>IF($A38="","",IF(OR(D38="proposal",D38="negotiation"),Config!$B$8,0))</x:f>
      </x:c>
      <x:c r="L38" s="30">
        <x:f>IF($A38="","",IF(E38&gt;Config!$B$9,Config!$B$10,0))</x:f>
      </x:c>
      <x:c r="M38" s="30">
        <x:f>IF($A38="","",IF(G38&gt;=Config!$B$11,Config!$B$12,0))</x:f>
      </x:c>
      <x:c r="N38" s="30">
        <x:f>IF($A38="","",SUM(H38:M38))</x:f>
      </x:c>
      <x:c r="O38" s="30">
        <x:f>IF($A38="","",MAX(0,MIN(Config!$B$13,N38)))</x:f>
      </x:c>
      <x:c r="P38" s="12">
        <x:f>IF($A38="","",O38/Config!$B$13)</x:f>
      </x:c>
      <x:c r="Q38" s="13">
        <x:f>IF($A38="","",IF(O38&gt;=Config!$B$14,"A",IF(O38&gt;=Config!$B$15,"B","C")))</x:f>
      </x:c>
      <x:c r="R38" s="13">
        <x:f>IF($A38="","",IF(O38&gt;=Config!$B$14,"Low",IF(O38&gt;=Config!$B$15,"Medium","High")))</x:f>
      </x:c>
      <x:c r="S38" s="13">
        <x:f>IF($A38="","",IF(F38="No","Mapear decisor e agendar reunião",IF(E38&gt;Config!$B$9,"Realizar follow-up estruturado",IF(R38="High","Reavaliar estratégia do deal","Avançar para próxima etapa"))))</x:f>
      </x:c>
      <x:c r="T38" s="13">
        <x:f>IF($A38="","","Score " &amp; O38 &amp; "/100; rating " &amp; Q38 &amp; "; friction " &amp; R38 &amp; ".")</x:f>
      </x:c>
    </x:row>
    <x:row r="39" ht="34" customHeight="1">
      <x:c r="A39" s="9" t="n"/>
      <x:c r="B39" s="9" t="n"/>
      <x:c r="C39" s="29" t="n"/>
      <x:c r="D39" s="9" t="n"/>
      <x:c r="E39" s="9" t="n"/>
      <x:c r="F39" s="9" t="n"/>
      <x:c r="G39" s="9" t="n"/>
      <x:c r="H39" s="30">
        <x:f>IF($A39="","",Config!$B$4)</x:f>
      </x:c>
      <x:c r="I39" s="30">
        <x:f>IF($A39="","",IF(C39&gt;Config!$B$5,Config!$B$6,0))</x:f>
      </x:c>
      <x:c r="J39" s="30">
        <x:f>IF($A39="","",IF(F39="Yes",Config!$B$7,0))</x:f>
      </x:c>
      <x:c r="K39" s="30">
        <x:f>IF($A39="","",IF(OR(D39="proposal",D39="negotiation"),Config!$B$8,0))</x:f>
      </x:c>
      <x:c r="L39" s="30">
        <x:f>IF($A39="","",IF(E39&gt;Config!$B$9,Config!$B$10,0))</x:f>
      </x:c>
      <x:c r="M39" s="30">
        <x:f>IF($A39="","",IF(G39&gt;=Config!$B$11,Config!$B$12,0))</x:f>
      </x:c>
      <x:c r="N39" s="30">
        <x:f>IF($A39="","",SUM(H39:M39))</x:f>
      </x:c>
      <x:c r="O39" s="30">
        <x:f>IF($A39="","",MAX(0,MIN(Config!$B$13,N39)))</x:f>
      </x:c>
      <x:c r="P39" s="12">
        <x:f>IF($A39="","",O39/Config!$B$13)</x:f>
      </x:c>
      <x:c r="Q39" s="13">
        <x:f>IF($A39="","",IF(O39&gt;=Config!$B$14,"A",IF(O39&gt;=Config!$B$15,"B","C")))</x:f>
      </x:c>
      <x:c r="R39" s="13">
        <x:f>IF($A39="","",IF(O39&gt;=Config!$B$14,"Low",IF(O39&gt;=Config!$B$15,"Medium","High")))</x:f>
      </x:c>
      <x:c r="S39" s="13">
        <x:f>IF($A39="","",IF(F39="No","Mapear decisor e agendar reunião",IF(E39&gt;Config!$B$9,"Realizar follow-up estruturado",IF(R39="High","Reavaliar estratégia do deal","Avançar para próxima etapa"))))</x:f>
      </x:c>
      <x:c r="T39" s="13">
        <x:f>IF($A39="","","Score " &amp; O39 &amp; "/100; rating " &amp; Q39 &amp; "; friction " &amp; R39 &amp; ".")</x:f>
      </x:c>
    </x:row>
    <x:row r="40" ht="34" customHeight="1">
      <x:c r="A40" s="9" t="n"/>
      <x:c r="B40" s="9" t="n"/>
      <x:c r="C40" s="29" t="n"/>
      <x:c r="D40" s="9" t="n"/>
      <x:c r="E40" s="9" t="n"/>
      <x:c r="F40" s="9" t="n"/>
      <x:c r="G40" s="9" t="n"/>
      <x:c r="H40" s="30">
        <x:f>IF($A40="","",Config!$B$4)</x:f>
      </x:c>
      <x:c r="I40" s="30">
        <x:f>IF($A40="","",IF(C40&gt;Config!$B$5,Config!$B$6,0))</x:f>
      </x:c>
      <x:c r="J40" s="30">
        <x:f>IF($A40="","",IF(F40="Yes",Config!$B$7,0))</x:f>
      </x:c>
      <x:c r="K40" s="30">
        <x:f>IF($A40="","",IF(OR(D40="proposal",D40="negotiation"),Config!$B$8,0))</x:f>
      </x:c>
      <x:c r="L40" s="30">
        <x:f>IF($A40="","",IF(E40&gt;Config!$B$9,Config!$B$10,0))</x:f>
      </x:c>
      <x:c r="M40" s="30">
        <x:f>IF($A40="","",IF(G40&gt;=Config!$B$11,Config!$B$12,0))</x:f>
      </x:c>
      <x:c r="N40" s="30">
        <x:f>IF($A40="","",SUM(H40:M40))</x:f>
      </x:c>
      <x:c r="O40" s="30">
        <x:f>IF($A40="","",MAX(0,MIN(Config!$B$13,N40)))</x:f>
      </x:c>
      <x:c r="P40" s="12">
        <x:f>IF($A40="","",O40/Config!$B$13)</x:f>
      </x:c>
      <x:c r="Q40" s="13">
        <x:f>IF($A40="","",IF(O40&gt;=Config!$B$14,"A",IF(O40&gt;=Config!$B$15,"B","C")))</x:f>
      </x:c>
      <x:c r="R40" s="13">
        <x:f>IF($A40="","",IF(O40&gt;=Config!$B$14,"Low",IF(O40&gt;=Config!$B$15,"Medium","High")))</x:f>
      </x:c>
      <x:c r="S40" s="13">
        <x:f>IF($A40="","",IF(F40="No","Mapear decisor e agendar reunião",IF(E40&gt;Config!$B$9,"Realizar follow-up estruturado",IF(R40="High","Reavaliar estratégia do deal","Avançar para próxima etapa"))))</x:f>
      </x:c>
      <x:c r="T40" s="13">
        <x:f>IF($A40="","","Score " &amp; O40 &amp; "/100; rating " &amp; Q40 &amp; "; friction " &amp; R40 &amp; ".")</x:f>
      </x:c>
    </x:row>
    <x:row r="41" ht="34" customHeight="1">
      <x:c r="A41" s="9" t="n"/>
      <x:c r="B41" s="9" t="n"/>
      <x:c r="C41" s="29" t="n"/>
      <x:c r="D41" s="9" t="n"/>
      <x:c r="E41" s="9" t="n"/>
      <x:c r="F41" s="9" t="n"/>
      <x:c r="G41" s="9" t="n"/>
      <x:c r="H41" s="30">
        <x:f>IF($A41="","",Config!$B$4)</x:f>
      </x:c>
      <x:c r="I41" s="30">
        <x:f>IF($A41="","",IF(C41&gt;Config!$B$5,Config!$B$6,0))</x:f>
      </x:c>
      <x:c r="J41" s="30">
        <x:f>IF($A41="","",IF(F41="Yes",Config!$B$7,0))</x:f>
      </x:c>
      <x:c r="K41" s="30">
        <x:f>IF($A41="","",IF(OR(D41="proposal",D41="negotiation"),Config!$B$8,0))</x:f>
      </x:c>
      <x:c r="L41" s="30">
        <x:f>IF($A41="","",IF(E41&gt;Config!$B$9,Config!$B$10,0))</x:f>
      </x:c>
      <x:c r="M41" s="30">
        <x:f>IF($A41="","",IF(G41&gt;=Config!$B$11,Config!$B$12,0))</x:f>
      </x:c>
      <x:c r="N41" s="30">
        <x:f>IF($A41="","",SUM(H41:M41))</x:f>
      </x:c>
      <x:c r="O41" s="30">
        <x:f>IF($A41="","",MAX(0,MIN(Config!$B$13,N41)))</x:f>
      </x:c>
      <x:c r="P41" s="12">
        <x:f>IF($A41="","",O41/Config!$B$13)</x:f>
      </x:c>
      <x:c r="Q41" s="13">
        <x:f>IF($A41="","",IF(O41&gt;=Config!$B$14,"A",IF(O41&gt;=Config!$B$15,"B","C")))</x:f>
      </x:c>
      <x:c r="R41" s="13">
        <x:f>IF($A41="","",IF(O41&gt;=Config!$B$14,"Low",IF(O41&gt;=Config!$B$15,"Medium","High")))</x:f>
      </x:c>
      <x:c r="S41" s="13">
        <x:f>IF($A41="","",IF(F41="No","Mapear decisor e agendar reunião",IF(E41&gt;Config!$B$9,"Realizar follow-up estruturado",IF(R41="High","Reavaliar estratégia do deal","Avançar para próxima etapa"))))</x:f>
      </x:c>
      <x:c r="T41" s="13">
        <x:f>IF($A41="","","Score " &amp; O41 &amp; "/100; rating " &amp; Q41 &amp; "; friction " &amp; R41 &amp; ".")</x:f>
      </x:c>
    </x:row>
    <x:row r="42" ht="34" customHeight="1">
      <x:c r="A42" s="9" t="n"/>
      <x:c r="B42" s="9" t="n"/>
      <x:c r="C42" s="29" t="n"/>
      <x:c r="D42" s="9" t="n"/>
      <x:c r="E42" s="9" t="n"/>
      <x:c r="F42" s="9" t="n"/>
      <x:c r="G42" s="9" t="n"/>
      <x:c r="H42" s="30">
        <x:f>IF($A42="","",Config!$B$4)</x:f>
      </x:c>
      <x:c r="I42" s="30">
        <x:f>IF($A42="","",IF(C42&gt;Config!$B$5,Config!$B$6,0))</x:f>
      </x:c>
      <x:c r="J42" s="30">
        <x:f>IF($A42="","",IF(F42="Yes",Config!$B$7,0))</x:f>
      </x:c>
      <x:c r="K42" s="30">
        <x:f>IF($A42="","",IF(OR(D42="proposal",D42="negotiation"),Config!$B$8,0))</x:f>
      </x:c>
      <x:c r="L42" s="30">
        <x:f>IF($A42="","",IF(E42&gt;Config!$B$9,Config!$B$10,0))</x:f>
      </x:c>
      <x:c r="M42" s="30">
        <x:f>IF($A42="","",IF(G42&gt;=Config!$B$11,Config!$B$12,0))</x:f>
      </x:c>
      <x:c r="N42" s="30">
        <x:f>IF($A42="","",SUM(H42:M42))</x:f>
      </x:c>
      <x:c r="O42" s="30">
        <x:f>IF($A42="","",MAX(0,MIN(Config!$B$13,N42)))</x:f>
      </x:c>
      <x:c r="P42" s="12">
        <x:f>IF($A42="","",O42/Config!$B$13)</x:f>
      </x:c>
      <x:c r="Q42" s="13">
        <x:f>IF($A42="","",IF(O42&gt;=Config!$B$14,"A",IF(O42&gt;=Config!$B$15,"B","C")))</x:f>
      </x:c>
      <x:c r="R42" s="13">
        <x:f>IF($A42="","",IF(O42&gt;=Config!$B$14,"Low",IF(O42&gt;=Config!$B$15,"Medium","High")))</x:f>
      </x:c>
      <x:c r="S42" s="13">
        <x:f>IF($A42="","",IF(F42="No","Mapear decisor e agendar reunião",IF(E42&gt;Config!$B$9,"Realizar follow-up estruturado",IF(R42="High","Reavaliar estratégia do deal","Avançar para próxima etapa"))))</x:f>
      </x:c>
      <x:c r="T42" s="13">
        <x:f>IF($A42="","","Score " &amp; O42 &amp; "/100; rating " &amp; Q42 &amp; "; friction " &amp; R42 &amp; ".")</x:f>
      </x:c>
    </x:row>
    <x:row r="43" ht="34" customHeight="1">
      <x:c r="A43" s="9" t="n"/>
      <x:c r="B43" s="9" t="n"/>
      <x:c r="C43" s="29" t="n"/>
      <x:c r="D43" s="9" t="n"/>
      <x:c r="E43" s="9" t="n"/>
      <x:c r="F43" s="9" t="n"/>
      <x:c r="G43" s="9" t="n"/>
      <x:c r="H43" s="30">
        <x:f>IF($A43="","",Config!$B$4)</x:f>
      </x:c>
      <x:c r="I43" s="30">
        <x:f>IF($A43="","",IF(C43&gt;Config!$B$5,Config!$B$6,0))</x:f>
      </x:c>
      <x:c r="J43" s="30">
        <x:f>IF($A43="","",IF(F43="Yes",Config!$B$7,0))</x:f>
      </x:c>
      <x:c r="K43" s="30">
        <x:f>IF($A43="","",IF(OR(D43="proposal",D43="negotiation"),Config!$B$8,0))</x:f>
      </x:c>
      <x:c r="L43" s="30">
        <x:f>IF($A43="","",IF(E43&gt;Config!$B$9,Config!$B$10,0))</x:f>
      </x:c>
      <x:c r="M43" s="30">
        <x:f>IF($A43="","",IF(G43&gt;=Config!$B$11,Config!$B$12,0))</x:f>
      </x:c>
      <x:c r="N43" s="30">
        <x:f>IF($A43="","",SUM(H43:M43))</x:f>
      </x:c>
      <x:c r="O43" s="30">
        <x:f>IF($A43="","",MAX(0,MIN(Config!$B$13,N43)))</x:f>
      </x:c>
      <x:c r="P43" s="12">
        <x:f>IF($A43="","",O43/Config!$B$13)</x:f>
      </x:c>
      <x:c r="Q43" s="13">
        <x:f>IF($A43="","",IF(O43&gt;=Config!$B$14,"A",IF(O43&gt;=Config!$B$15,"B","C")))</x:f>
      </x:c>
      <x:c r="R43" s="13">
        <x:f>IF($A43="","",IF(O43&gt;=Config!$B$14,"Low",IF(O43&gt;=Config!$B$15,"Medium","High")))</x:f>
      </x:c>
      <x:c r="S43" s="13">
        <x:f>IF($A43="","",IF(F43="No","Mapear decisor e agendar reunião",IF(E43&gt;Config!$B$9,"Realizar follow-up estruturado",IF(R43="High","Reavaliar estratégia do deal","Avançar para próxima etapa"))))</x:f>
      </x:c>
      <x:c r="T43" s="13">
        <x:f>IF($A43="","","Score " &amp; O43 &amp; "/100; rating " &amp; Q43 &amp; "; friction " &amp; R43 &amp; ".")</x:f>
      </x:c>
    </x:row>
    <x:row r="44" ht="34" customHeight="1">
      <x:c r="A44" s="9" t="n"/>
      <x:c r="B44" s="9" t="n"/>
      <x:c r="C44" s="29" t="n"/>
      <x:c r="D44" s="9" t="n"/>
      <x:c r="E44" s="9" t="n"/>
      <x:c r="F44" s="9" t="n"/>
      <x:c r="G44" s="9" t="n"/>
      <x:c r="H44" s="30">
        <x:f>IF($A44="","",Config!$B$4)</x:f>
      </x:c>
      <x:c r="I44" s="30">
        <x:f>IF($A44="","",IF(C44&gt;Config!$B$5,Config!$B$6,0))</x:f>
      </x:c>
      <x:c r="J44" s="30">
        <x:f>IF($A44="","",IF(F44="Yes",Config!$B$7,0))</x:f>
      </x:c>
      <x:c r="K44" s="30">
        <x:f>IF($A44="","",IF(OR(D44="proposal",D44="negotiation"),Config!$B$8,0))</x:f>
      </x:c>
      <x:c r="L44" s="30">
        <x:f>IF($A44="","",IF(E44&gt;Config!$B$9,Config!$B$10,0))</x:f>
      </x:c>
      <x:c r="M44" s="30">
        <x:f>IF($A44="","",IF(G44&gt;=Config!$B$11,Config!$B$12,0))</x:f>
      </x:c>
      <x:c r="N44" s="30">
        <x:f>IF($A44="","",SUM(H44:M44))</x:f>
      </x:c>
      <x:c r="O44" s="30">
        <x:f>IF($A44="","",MAX(0,MIN(Config!$B$13,N44)))</x:f>
      </x:c>
      <x:c r="P44" s="12">
        <x:f>IF($A44="","",O44/Config!$B$13)</x:f>
      </x:c>
      <x:c r="Q44" s="13">
        <x:f>IF($A44="","",IF(O44&gt;=Config!$B$14,"A",IF(O44&gt;=Config!$B$15,"B","C")))</x:f>
      </x:c>
      <x:c r="R44" s="13">
        <x:f>IF($A44="","",IF(O44&gt;=Config!$B$14,"Low",IF(O44&gt;=Config!$B$15,"Medium","High")))</x:f>
      </x:c>
      <x:c r="S44" s="13">
        <x:f>IF($A44="","",IF(F44="No","Mapear decisor e agendar reunião",IF(E44&gt;Config!$B$9,"Realizar follow-up estruturado",IF(R44="High","Reavaliar estratégia do deal","Avançar para próxima etapa"))))</x:f>
      </x:c>
      <x:c r="T44" s="13">
        <x:f>IF($A44="","","Score " &amp; O44 &amp; "/100; rating " &amp; Q44 &amp; "; friction " &amp; R44 &amp; ".")</x:f>
      </x:c>
    </x:row>
    <x:row r="45" ht="34" customHeight="1">
      <x:c r="A45" s="9" t="n"/>
      <x:c r="B45" s="9" t="n"/>
      <x:c r="C45" s="29" t="n"/>
      <x:c r="D45" s="9" t="n"/>
      <x:c r="E45" s="9" t="n"/>
      <x:c r="F45" s="9" t="n"/>
      <x:c r="G45" s="9" t="n"/>
      <x:c r="H45" s="30">
        <x:f>IF($A45="","",Config!$B$4)</x:f>
      </x:c>
      <x:c r="I45" s="30">
        <x:f>IF($A45="","",IF(C45&gt;Config!$B$5,Config!$B$6,0))</x:f>
      </x:c>
      <x:c r="J45" s="30">
        <x:f>IF($A45="","",IF(F45="Yes",Config!$B$7,0))</x:f>
      </x:c>
      <x:c r="K45" s="30">
        <x:f>IF($A45="","",IF(OR(D45="proposal",D45="negotiation"),Config!$B$8,0))</x:f>
      </x:c>
      <x:c r="L45" s="30">
        <x:f>IF($A45="","",IF(E45&gt;Config!$B$9,Config!$B$10,0))</x:f>
      </x:c>
      <x:c r="M45" s="30">
        <x:f>IF($A45="","",IF(G45&gt;=Config!$B$11,Config!$B$12,0))</x:f>
      </x:c>
      <x:c r="N45" s="30">
        <x:f>IF($A45="","",SUM(H45:M45))</x:f>
      </x:c>
      <x:c r="O45" s="30">
        <x:f>IF($A45="","",MAX(0,MIN(Config!$B$13,N45)))</x:f>
      </x:c>
      <x:c r="P45" s="12">
        <x:f>IF($A45="","",O45/Config!$B$13)</x:f>
      </x:c>
      <x:c r="Q45" s="13">
        <x:f>IF($A45="","",IF(O45&gt;=Config!$B$14,"A",IF(O45&gt;=Config!$B$15,"B","C")))</x:f>
      </x:c>
      <x:c r="R45" s="13">
        <x:f>IF($A45="","",IF(O45&gt;=Config!$B$14,"Low",IF(O45&gt;=Config!$B$15,"Medium","High")))</x:f>
      </x:c>
      <x:c r="S45" s="13">
        <x:f>IF($A45="","",IF(F45="No","Mapear decisor e agendar reunião",IF(E45&gt;Config!$B$9,"Realizar follow-up estruturado",IF(R45="High","Reavaliar estratégia do deal","Avançar para próxima etapa"))))</x:f>
      </x:c>
      <x:c r="T45" s="13">
        <x:f>IF($A45="","","Score " &amp; O45 &amp; "/100; rating " &amp; Q45 &amp; "; friction " &amp; R45 &amp; ".")</x:f>
      </x:c>
    </x:row>
    <x:row r="46" ht="34" customHeight="1">
      <x:c r="A46" s="9" t="n"/>
      <x:c r="B46" s="9" t="n"/>
      <x:c r="C46" s="29" t="n"/>
      <x:c r="D46" s="9" t="n"/>
      <x:c r="E46" s="9" t="n"/>
      <x:c r="F46" s="9" t="n"/>
      <x:c r="G46" s="9" t="n"/>
      <x:c r="H46" s="30">
        <x:f>IF($A46="","",Config!$B$4)</x:f>
      </x:c>
      <x:c r="I46" s="30">
        <x:f>IF($A46="","",IF(C46&gt;Config!$B$5,Config!$B$6,0))</x:f>
      </x:c>
      <x:c r="J46" s="30">
        <x:f>IF($A46="","",IF(F46="Yes",Config!$B$7,0))</x:f>
      </x:c>
      <x:c r="K46" s="30">
        <x:f>IF($A46="","",IF(OR(D46="proposal",D46="negotiation"),Config!$B$8,0))</x:f>
      </x:c>
      <x:c r="L46" s="30">
        <x:f>IF($A46="","",IF(E46&gt;Config!$B$9,Config!$B$10,0))</x:f>
      </x:c>
      <x:c r="M46" s="30">
        <x:f>IF($A46="","",IF(G46&gt;=Config!$B$11,Config!$B$12,0))</x:f>
      </x:c>
      <x:c r="N46" s="30">
        <x:f>IF($A46="","",SUM(H46:M46))</x:f>
      </x:c>
      <x:c r="O46" s="30">
        <x:f>IF($A46="","",MAX(0,MIN(Config!$B$13,N46)))</x:f>
      </x:c>
      <x:c r="P46" s="12">
        <x:f>IF($A46="","",O46/Config!$B$13)</x:f>
      </x:c>
      <x:c r="Q46" s="13">
        <x:f>IF($A46="","",IF(O46&gt;=Config!$B$14,"A",IF(O46&gt;=Config!$B$15,"B","C")))</x:f>
      </x:c>
      <x:c r="R46" s="13">
        <x:f>IF($A46="","",IF(O46&gt;=Config!$B$14,"Low",IF(O46&gt;=Config!$B$15,"Medium","High")))</x:f>
      </x:c>
      <x:c r="S46" s="13">
        <x:f>IF($A46="","",IF(F46="No","Mapear decisor e agendar reunião",IF(E46&gt;Config!$B$9,"Realizar follow-up estruturado",IF(R46="High","Reavaliar estratégia do deal","Avançar para próxima etapa"))))</x:f>
      </x:c>
      <x:c r="T46" s="13">
        <x:f>IF($A46="","","Score " &amp; O46 &amp; "/100; rating " &amp; Q46 &amp; "; friction " &amp; R46 &amp; ".")</x:f>
      </x:c>
    </x:row>
    <x:row r="47" ht="34" customHeight="1">
      <x:c r="A47" s="9" t="n"/>
      <x:c r="B47" s="9" t="n"/>
      <x:c r="C47" s="29" t="n"/>
      <x:c r="D47" s="9" t="n"/>
      <x:c r="E47" s="9" t="n"/>
      <x:c r="F47" s="9" t="n"/>
      <x:c r="G47" s="9" t="n"/>
      <x:c r="H47" s="30">
        <x:f>IF($A47="","",Config!$B$4)</x:f>
      </x:c>
      <x:c r="I47" s="30">
        <x:f>IF($A47="","",IF(C47&gt;Config!$B$5,Config!$B$6,0))</x:f>
      </x:c>
      <x:c r="J47" s="30">
        <x:f>IF($A47="","",IF(F47="Yes",Config!$B$7,0))</x:f>
      </x:c>
      <x:c r="K47" s="30">
        <x:f>IF($A47="","",IF(OR(D47="proposal",D47="negotiation"),Config!$B$8,0))</x:f>
      </x:c>
      <x:c r="L47" s="30">
        <x:f>IF($A47="","",IF(E47&gt;Config!$B$9,Config!$B$10,0))</x:f>
      </x:c>
      <x:c r="M47" s="30">
        <x:f>IF($A47="","",IF(G47&gt;=Config!$B$11,Config!$B$12,0))</x:f>
      </x:c>
      <x:c r="N47" s="30">
        <x:f>IF($A47="","",SUM(H47:M47))</x:f>
      </x:c>
      <x:c r="O47" s="30">
        <x:f>IF($A47="","",MAX(0,MIN(Config!$B$13,N47)))</x:f>
      </x:c>
      <x:c r="P47" s="12">
        <x:f>IF($A47="","",O47/Config!$B$13)</x:f>
      </x:c>
      <x:c r="Q47" s="13">
        <x:f>IF($A47="","",IF(O47&gt;=Config!$B$14,"A",IF(O47&gt;=Config!$B$15,"B","C")))</x:f>
      </x:c>
      <x:c r="R47" s="13">
        <x:f>IF($A47="","",IF(O47&gt;=Config!$B$14,"Low",IF(O47&gt;=Config!$B$15,"Medium","High")))</x:f>
      </x:c>
      <x:c r="S47" s="13">
        <x:f>IF($A47="","",IF(F47="No","Mapear decisor e agendar reunião",IF(E47&gt;Config!$B$9,"Realizar follow-up estruturado",IF(R47="High","Reavaliar estratégia do deal","Avançar para próxima etapa"))))</x:f>
      </x:c>
      <x:c r="T47" s="13">
        <x:f>IF($A47="","","Score " &amp; O47 &amp; "/100; rating " &amp; Q47 &amp; "; friction " &amp; R47 &amp; ".")</x:f>
      </x:c>
    </x:row>
    <x:row r="48" ht="34" customHeight="1">
      <x:c r="A48" s="9" t="n"/>
      <x:c r="B48" s="9" t="n"/>
      <x:c r="C48" s="29" t="n"/>
      <x:c r="D48" s="9" t="n"/>
      <x:c r="E48" s="9" t="n"/>
      <x:c r="F48" s="9" t="n"/>
      <x:c r="G48" s="9" t="n"/>
      <x:c r="H48" s="30">
        <x:f>IF($A48="","",Config!$B$4)</x:f>
      </x:c>
      <x:c r="I48" s="30">
        <x:f>IF($A48="","",IF(C48&gt;Config!$B$5,Config!$B$6,0))</x:f>
      </x:c>
      <x:c r="J48" s="30">
        <x:f>IF($A48="","",IF(F48="Yes",Config!$B$7,0))</x:f>
      </x:c>
      <x:c r="K48" s="30">
        <x:f>IF($A48="","",IF(OR(D48="proposal",D48="negotiation"),Config!$B$8,0))</x:f>
      </x:c>
      <x:c r="L48" s="30">
        <x:f>IF($A48="","",IF(E48&gt;Config!$B$9,Config!$B$10,0))</x:f>
      </x:c>
      <x:c r="M48" s="30">
        <x:f>IF($A48="","",IF(G48&gt;=Config!$B$11,Config!$B$12,0))</x:f>
      </x:c>
      <x:c r="N48" s="30">
        <x:f>IF($A48="","",SUM(H48:M48))</x:f>
      </x:c>
      <x:c r="O48" s="30">
        <x:f>IF($A48="","",MAX(0,MIN(Config!$B$13,N48)))</x:f>
      </x:c>
      <x:c r="P48" s="12">
        <x:f>IF($A48="","",O48/Config!$B$13)</x:f>
      </x:c>
      <x:c r="Q48" s="13">
        <x:f>IF($A48="","",IF(O48&gt;=Config!$B$14,"A",IF(O48&gt;=Config!$B$15,"B","C")))</x:f>
      </x:c>
      <x:c r="R48" s="13">
        <x:f>IF($A48="","",IF(O48&gt;=Config!$B$14,"Low",IF(O48&gt;=Config!$B$15,"Medium","High")))</x:f>
      </x:c>
      <x:c r="S48" s="13">
        <x:f>IF($A48="","",IF(F48="No","Mapear decisor e agendar reunião",IF(E48&gt;Config!$B$9,"Realizar follow-up estruturado",IF(R48="High","Reavaliar estratégia do deal","Avançar para próxima etapa"))))</x:f>
      </x:c>
      <x:c r="T48" s="13">
        <x:f>IF($A48="","","Score " &amp; O48 &amp; "/100; rating " &amp; Q48 &amp; "; friction " &amp; R48 &amp; ".")</x:f>
      </x:c>
    </x:row>
    <x:row r="49" ht="34" customHeight="1">
      <x:c r="A49" s="9" t="n"/>
      <x:c r="B49" s="9" t="n"/>
      <x:c r="C49" s="29" t="n"/>
      <x:c r="D49" s="9" t="n"/>
      <x:c r="E49" s="9" t="n"/>
      <x:c r="F49" s="9" t="n"/>
      <x:c r="G49" s="9" t="n"/>
      <x:c r="H49" s="30">
        <x:f>IF($A49="","",Config!$B$4)</x:f>
      </x:c>
      <x:c r="I49" s="30">
        <x:f>IF($A49="","",IF(C49&gt;Config!$B$5,Config!$B$6,0))</x:f>
      </x:c>
      <x:c r="J49" s="30">
        <x:f>IF($A49="","",IF(F49="Yes",Config!$B$7,0))</x:f>
      </x:c>
      <x:c r="K49" s="30">
        <x:f>IF($A49="","",IF(OR(D49="proposal",D49="negotiation"),Config!$B$8,0))</x:f>
      </x:c>
      <x:c r="L49" s="30">
        <x:f>IF($A49="","",IF(E49&gt;Config!$B$9,Config!$B$10,0))</x:f>
      </x:c>
      <x:c r="M49" s="30">
        <x:f>IF($A49="","",IF(G49&gt;=Config!$B$11,Config!$B$12,0))</x:f>
      </x:c>
      <x:c r="N49" s="30">
        <x:f>IF($A49="","",SUM(H49:M49))</x:f>
      </x:c>
      <x:c r="O49" s="30">
        <x:f>IF($A49="","",MAX(0,MIN(Config!$B$13,N49)))</x:f>
      </x:c>
      <x:c r="P49" s="12">
        <x:f>IF($A49="","",O49/Config!$B$13)</x:f>
      </x:c>
      <x:c r="Q49" s="13">
        <x:f>IF($A49="","",IF(O49&gt;=Config!$B$14,"A",IF(O49&gt;=Config!$B$15,"B","C")))</x:f>
      </x:c>
      <x:c r="R49" s="13">
        <x:f>IF($A49="","",IF(O49&gt;=Config!$B$14,"Low",IF(O49&gt;=Config!$B$15,"Medium","High")))</x:f>
      </x:c>
      <x:c r="S49" s="13">
        <x:f>IF($A49="","",IF(F49="No","Mapear decisor e agendar reunião",IF(E49&gt;Config!$B$9,"Realizar follow-up estruturado",IF(R49="High","Reavaliar estratégia do deal","Avançar para próxima etapa"))))</x:f>
      </x:c>
      <x:c r="T49" s="13">
        <x:f>IF($A49="","","Score " &amp; O49 &amp; "/100; rating " &amp; Q49 &amp; "; friction " &amp; R49 &amp; ".")</x:f>
      </x:c>
    </x:row>
    <x:row r="50" ht="34" customHeight="1">
      <x:c r="A50" s="9" t="n"/>
      <x:c r="B50" s="9" t="n"/>
      <x:c r="C50" s="29" t="n"/>
      <x:c r="D50" s="9" t="n"/>
      <x:c r="E50" s="9" t="n"/>
      <x:c r="F50" s="9" t="n"/>
      <x:c r="G50" s="9" t="n"/>
      <x:c r="H50" s="30">
        <x:f>IF($A50="","",Config!$B$4)</x:f>
      </x:c>
      <x:c r="I50" s="30">
        <x:f>IF($A50="","",IF(C50&gt;Config!$B$5,Config!$B$6,0))</x:f>
      </x:c>
      <x:c r="J50" s="30">
        <x:f>IF($A50="","",IF(F50="Yes",Config!$B$7,0))</x:f>
      </x:c>
      <x:c r="K50" s="30">
        <x:f>IF($A50="","",IF(OR(D50="proposal",D50="negotiation"),Config!$B$8,0))</x:f>
      </x:c>
      <x:c r="L50" s="30">
        <x:f>IF($A50="","",IF(E50&gt;Config!$B$9,Config!$B$10,0))</x:f>
      </x:c>
      <x:c r="M50" s="30">
        <x:f>IF($A50="","",IF(G50&gt;=Config!$B$11,Config!$B$12,0))</x:f>
      </x:c>
      <x:c r="N50" s="30">
        <x:f>IF($A50="","",SUM(H50:M50))</x:f>
      </x:c>
      <x:c r="O50" s="30">
        <x:f>IF($A50="","",MAX(0,MIN(Config!$B$13,N50)))</x:f>
      </x:c>
      <x:c r="P50" s="12">
        <x:f>IF($A50="","",O50/Config!$B$13)</x:f>
      </x:c>
      <x:c r="Q50" s="13">
        <x:f>IF($A50="","",IF(O50&gt;=Config!$B$14,"A",IF(O50&gt;=Config!$B$15,"B","C")))</x:f>
      </x:c>
      <x:c r="R50" s="13">
        <x:f>IF($A50="","",IF(O50&gt;=Config!$B$14,"Low",IF(O50&gt;=Config!$B$15,"Medium","High")))</x:f>
      </x:c>
      <x:c r="S50" s="13">
        <x:f>IF($A50="","",IF(F50="No","Mapear decisor e agendar reunião",IF(E50&gt;Config!$B$9,"Realizar follow-up estruturado",IF(R50="High","Reavaliar estratégia do deal","Avançar para próxima etapa"))))</x:f>
      </x:c>
      <x:c r="T50" s="13">
        <x:f>IF($A50="","","Score " &amp; O50 &amp; "/100; rating " &amp; Q50 &amp; "; friction " &amp; R50 &amp; ".")</x:f>
      </x:c>
    </x:row>
    <x:row r="51" ht="34" customHeight="1">
      <x:c r="A51" s="9" t="n"/>
      <x:c r="B51" s="9" t="n"/>
      <x:c r="C51" s="29" t="n"/>
      <x:c r="D51" s="9" t="n"/>
      <x:c r="E51" s="9" t="n"/>
      <x:c r="F51" s="9" t="n"/>
      <x:c r="G51" s="9" t="n"/>
      <x:c r="H51" s="30">
        <x:f>IF($A51="","",Config!$B$4)</x:f>
      </x:c>
      <x:c r="I51" s="30">
        <x:f>IF($A51="","",IF(C51&gt;Config!$B$5,Config!$B$6,0))</x:f>
      </x:c>
      <x:c r="J51" s="30">
        <x:f>IF($A51="","",IF(F51="Yes",Config!$B$7,0))</x:f>
      </x:c>
      <x:c r="K51" s="30">
        <x:f>IF($A51="","",IF(OR(D51="proposal",D51="negotiation"),Config!$B$8,0))</x:f>
      </x:c>
      <x:c r="L51" s="30">
        <x:f>IF($A51="","",IF(E51&gt;Config!$B$9,Config!$B$10,0))</x:f>
      </x:c>
      <x:c r="M51" s="30">
        <x:f>IF($A51="","",IF(G51&gt;=Config!$B$11,Config!$B$12,0))</x:f>
      </x:c>
      <x:c r="N51" s="30">
        <x:f>IF($A51="","",SUM(H51:M51))</x:f>
      </x:c>
      <x:c r="O51" s="30">
        <x:f>IF($A51="","",MAX(0,MIN(Config!$B$13,N51)))</x:f>
      </x:c>
      <x:c r="P51" s="12">
        <x:f>IF($A51="","",O51/Config!$B$13)</x:f>
      </x:c>
      <x:c r="Q51" s="13">
        <x:f>IF($A51="","",IF(O51&gt;=Config!$B$14,"A",IF(O51&gt;=Config!$B$15,"B","C")))</x:f>
      </x:c>
      <x:c r="R51" s="13">
        <x:f>IF($A51="","",IF(O51&gt;=Config!$B$14,"Low",IF(O51&gt;=Config!$B$15,"Medium","High")))</x:f>
      </x:c>
      <x:c r="S51" s="13">
        <x:f>IF($A51="","",IF(F51="No","Mapear decisor e agendar reunião",IF(E51&gt;Config!$B$9,"Realizar follow-up estruturado",IF(R51="High","Reavaliar estratégia do deal","Avançar para próxima etapa"))))</x:f>
      </x:c>
      <x:c r="T51" s="13">
        <x:f>IF($A51="","","Score " &amp; O51 &amp; "/100; rating " &amp; Q51 &amp; "; friction " &amp; R51 &amp; ".")</x:f>
      </x:c>
    </x:row>
    <x:row r="52" ht="34" customHeight="1">
      <x:c r="A52" s="9" t="n"/>
      <x:c r="B52" s="9" t="n"/>
      <x:c r="C52" s="29" t="n"/>
      <x:c r="D52" s="9" t="n"/>
      <x:c r="E52" s="9" t="n"/>
      <x:c r="F52" s="9" t="n"/>
      <x:c r="G52" s="9" t="n"/>
      <x:c r="H52" s="30">
        <x:f>IF($A52="","",Config!$B$4)</x:f>
      </x:c>
      <x:c r="I52" s="30">
        <x:f>IF($A52="","",IF(C52&gt;Config!$B$5,Config!$B$6,0))</x:f>
      </x:c>
      <x:c r="J52" s="30">
        <x:f>IF($A52="","",IF(F52="Yes",Config!$B$7,0))</x:f>
      </x:c>
      <x:c r="K52" s="30">
        <x:f>IF($A52="","",IF(OR(D52="proposal",D52="negotiation"),Config!$B$8,0))</x:f>
      </x:c>
      <x:c r="L52" s="30">
        <x:f>IF($A52="","",IF(E52&gt;Config!$B$9,Config!$B$10,0))</x:f>
      </x:c>
      <x:c r="M52" s="30">
        <x:f>IF($A52="","",IF(G52&gt;=Config!$B$11,Config!$B$12,0))</x:f>
      </x:c>
      <x:c r="N52" s="30">
        <x:f>IF($A52="","",SUM(H52:M52))</x:f>
      </x:c>
      <x:c r="O52" s="30">
        <x:f>IF($A52="","",MAX(0,MIN(Config!$B$13,N52)))</x:f>
      </x:c>
      <x:c r="P52" s="12">
        <x:f>IF($A52="","",O52/Config!$B$13)</x:f>
      </x:c>
      <x:c r="Q52" s="13">
        <x:f>IF($A52="","",IF(O52&gt;=Config!$B$14,"A",IF(O52&gt;=Config!$B$15,"B","C")))</x:f>
      </x:c>
      <x:c r="R52" s="13">
        <x:f>IF($A52="","",IF(O52&gt;=Config!$B$14,"Low",IF(O52&gt;=Config!$B$15,"Medium","High")))</x:f>
      </x:c>
      <x:c r="S52" s="13">
        <x:f>IF($A52="","",IF(F52="No","Mapear decisor e agendar reunião",IF(E52&gt;Config!$B$9,"Realizar follow-up estruturado",IF(R52="High","Reavaliar estratégia do deal","Avançar para próxima etapa"))))</x:f>
      </x:c>
      <x:c r="T52" s="13">
        <x:f>IF($A52="","","Score " &amp; O52 &amp; "/100; rating " &amp; Q52 &amp; "; friction " &amp; R52 &amp; ".")</x:f>
      </x:c>
    </x:row>
    <x:row r="53" ht="34" customHeight="1">
      <x:c r="A53" s="9" t="n"/>
      <x:c r="B53" s="9" t="n"/>
      <x:c r="C53" s="29" t="n"/>
      <x:c r="D53" s="9" t="n"/>
      <x:c r="E53" s="9" t="n"/>
      <x:c r="F53" s="9" t="n"/>
      <x:c r="G53" s="9" t="n"/>
      <x:c r="H53" s="30">
        <x:f>IF($A53="","",Config!$B$4)</x:f>
      </x:c>
      <x:c r="I53" s="30">
        <x:f>IF($A53="","",IF(C53&gt;Config!$B$5,Config!$B$6,0))</x:f>
      </x:c>
      <x:c r="J53" s="30">
        <x:f>IF($A53="","",IF(F53="Yes",Config!$B$7,0))</x:f>
      </x:c>
      <x:c r="K53" s="30">
        <x:f>IF($A53="","",IF(OR(D53="proposal",D53="negotiation"),Config!$B$8,0))</x:f>
      </x:c>
      <x:c r="L53" s="30">
        <x:f>IF($A53="","",IF(E53&gt;Config!$B$9,Config!$B$10,0))</x:f>
      </x:c>
      <x:c r="M53" s="30">
        <x:f>IF($A53="","",IF(G53&gt;=Config!$B$11,Config!$B$12,0))</x:f>
      </x:c>
      <x:c r="N53" s="30">
        <x:f>IF($A53="","",SUM(H53:M53))</x:f>
      </x:c>
      <x:c r="O53" s="30">
        <x:f>IF($A53="","",MAX(0,MIN(Config!$B$13,N53)))</x:f>
      </x:c>
      <x:c r="P53" s="12">
        <x:f>IF($A53="","",O53/Config!$B$13)</x:f>
      </x:c>
      <x:c r="Q53" s="13">
        <x:f>IF($A53="","",IF(O53&gt;=Config!$B$14,"A",IF(O53&gt;=Config!$B$15,"B","C")))</x:f>
      </x:c>
      <x:c r="R53" s="13">
        <x:f>IF($A53="","",IF(O53&gt;=Config!$B$14,"Low",IF(O53&gt;=Config!$B$15,"Medium","High")))</x:f>
      </x:c>
      <x:c r="S53" s="13">
        <x:f>IF($A53="","",IF(F53="No","Mapear decisor e agendar reunião",IF(E53&gt;Config!$B$9,"Realizar follow-up estruturado",IF(R53="High","Reavaliar estratégia do deal","Avançar para próxima etapa"))))</x:f>
      </x:c>
      <x:c r="T53" s="13">
        <x:f>IF($A53="","","Score " &amp; O53 &amp; "/100; rating " &amp; Q53 &amp; "; friction " &amp; R53 &amp; ".")</x:f>
      </x:c>
    </x:row>
    <x:row r="54" ht="34" customHeight="1">
      <x:c r="A54" s="9" t="n"/>
      <x:c r="B54" s="9" t="n"/>
      <x:c r="C54" s="29" t="n"/>
      <x:c r="D54" s="9" t="n"/>
      <x:c r="E54" s="9" t="n"/>
      <x:c r="F54" s="9" t="n"/>
      <x:c r="G54" s="9" t="n"/>
      <x:c r="H54" s="30">
        <x:f>IF($A54="","",Config!$B$4)</x:f>
      </x:c>
      <x:c r="I54" s="30">
        <x:f>IF($A54="","",IF(C54&gt;Config!$B$5,Config!$B$6,0))</x:f>
      </x:c>
      <x:c r="J54" s="30">
        <x:f>IF($A54="","",IF(F54="Yes",Config!$B$7,0))</x:f>
      </x:c>
      <x:c r="K54" s="30">
        <x:f>IF($A54="","",IF(OR(D54="proposal",D54="negotiation"),Config!$B$8,0))</x:f>
      </x:c>
      <x:c r="L54" s="30">
        <x:f>IF($A54="","",IF(E54&gt;Config!$B$9,Config!$B$10,0))</x:f>
      </x:c>
      <x:c r="M54" s="30">
        <x:f>IF($A54="","",IF(G54&gt;=Config!$B$11,Config!$B$12,0))</x:f>
      </x:c>
      <x:c r="N54" s="30">
        <x:f>IF($A54="","",SUM(H54:M54))</x:f>
      </x:c>
      <x:c r="O54" s="30">
        <x:f>IF($A54="","",MAX(0,MIN(Config!$B$13,N54)))</x:f>
      </x:c>
      <x:c r="P54" s="12">
        <x:f>IF($A54="","",O54/Config!$B$13)</x:f>
      </x:c>
      <x:c r="Q54" s="13">
        <x:f>IF($A54="","",IF(O54&gt;=Config!$B$14,"A",IF(O54&gt;=Config!$B$15,"B","C")))</x:f>
      </x:c>
      <x:c r="R54" s="13">
        <x:f>IF($A54="","",IF(O54&gt;=Config!$B$14,"Low",IF(O54&gt;=Config!$B$15,"Medium","High")))</x:f>
      </x:c>
      <x:c r="S54" s="13">
        <x:f>IF($A54="","",IF(F54="No","Mapear decisor e agendar reunião",IF(E54&gt;Config!$B$9,"Realizar follow-up estruturado",IF(R54="High","Reavaliar estratégia do deal","Avançar para próxima etapa"))))</x:f>
      </x:c>
      <x:c r="T54" s="13">
        <x:f>IF($A54="","","Score " &amp; O54 &amp; "/100; rating " &amp; Q54 &amp; "; friction " &amp; R54 &amp; ".")</x:f>
      </x:c>
    </x:row>
    <x:row r="55" ht="34" customHeight="1">
      <x:c r="A55" s="9" t="n"/>
      <x:c r="B55" s="9" t="n"/>
      <x:c r="C55" s="29" t="n"/>
      <x:c r="D55" s="9" t="n"/>
      <x:c r="E55" s="9" t="n"/>
      <x:c r="F55" s="9" t="n"/>
      <x:c r="G55" s="9" t="n"/>
      <x:c r="H55" s="30">
        <x:f>IF($A55="","",Config!$B$4)</x:f>
      </x:c>
      <x:c r="I55" s="30">
        <x:f>IF($A55="","",IF(C55&gt;Config!$B$5,Config!$B$6,0))</x:f>
      </x:c>
      <x:c r="J55" s="30">
        <x:f>IF($A55="","",IF(F55="Yes",Config!$B$7,0))</x:f>
      </x:c>
      <x:c r="K55" s="30">
        <x:f>IF($A55="","",IF(OR(D55="proposal",D55="negotiation"),Config!$B$8,0))</x:f>
      </x:c>
      <x:c r="L55" s="30">
        <x:f>IF($A55="","",IF(E55&gt;Config!$B$9,Config!$B$10,0))</x:f>
      </x:c>
      <x:c r="M55" s="30">
        <x:f>IF($A55="","",IF(G55&gt;=Config!$B$11,Config!$B$12,0))</x:f>
      </x:c>
      <x:c r="N55" s="30">
        <x:f>IF($A55="","",SUM(H55:M55))</x:f>
      </x:c>
      <x:c r="O55" s="30">
        <x:f>IF($A55="","",MAX(0,MIN(Config!$B$13,N55)))</x:f>
      </x:c>
      <x:c r="P55" s="12">
        <x:f>IF($A55="","",O55/Config!$B$13)</x:f>
      </x:c>
      <x:c r="Q55" s="13">
        <x:f>IF($A55="","",IF(O55&gt;=Config!$B$14,"A",IF(O55&gt;=Config!$B$15,"B","C")))</x:f>
      </x:c>
      <x:c r="R55" s="13">
        <x:f>IF($A55="","",IF(O55&gt;=Config!$B$14,"Low",IF(O55&gt;=Config!$B$15,"Medium","High")))</x:f>
      </x:c>
      <x:c r="S55" s="13">
        <x:f>IF($A55="","",IF(F55="No","Mapear decisor e agendar reunião",IF(E55&gt;Config!$B$9,"Realizar follow-up estruturado",IF(R55="High","Reavaliar estratégia do deal","Avançar para próxima etapa"))))</x:f>
      </x:c>
      <x:c r="T55" s="13">
        <x:f>IF($A55="","","Score " &amp; O55 &amp; "/100; rating " &amp; Q55 &amp; "; friction " &amp; R55 &amp; ".")</x:f>
      </x:c>
    </x:row>
    <x:row r="56" ht="34" customHeight="1">
      <x:c r="A56" s="9" t="n"/>
      <x:c r="B56" s="9" t="n"/>
      <x:c r="C56" s="29" t="n"/>
      <x:c r="D56" s="9" t="n"/>
      <x:c r="E56" s="9" t="n"/>
      <x:c r="F56" s="9" t="n"/>
      <x:c r="G56" s="9" t="n"/>
      <x:c r="H56" s="30">
        <x:f>IF($A56="","",Config!$B$4)</x:f>
      </x:c>
      <x:c r="I56" s="30">
        <x:f>IF($A56="","",IF(C56&gt;Config!$B$5,Config!$B$6,0))</x:f>
      </x:c>
      <x:c r="J56" s="30">
        <x:f>IF($A56="","",IF(F56="Yes",Config!$B$7,0))</x:f>
      </x:c>
      <x:c r="K56" s="30">
        <x:f>IF($A56="","",IF(OR(D56="proposal",D56="negotiation"),Config!$B$8,0))</x:f>
      </x:c>
      <x:c r="L56" s="30">
        <x:f>IF($A56="","",IF(E56&gt;Config!$B$9,Config!$B$10,0))</x:f>
      </x:c>
      <x:c r="M56" s="30">
        <x:f>IF($A56="","",IF(G56&gt;=Config!$B$11,Config!$B$12,0))</x:f>
      </x:c>
      <x:c r="N56" s="30">
        <x:f>IF($A56="","",SUM(H56:M56))</x:f>
      </x:c>
      <x:c r="O56" s="30">
        <x:f>IF($A56="","",MAX(0,MIN(Config!$B$13,N56)))</x:f>
      </x:c>
      <x:c r="P56" s="12">
        <x:f>IF($A56="","",O56/Config!$B$13)</x:f>
      </x:c>
      <x:c r="Q56" s="13">
        <x:f>IF($A56="","",IF(O56&gt;=Config!$B$14,"A",IF(O56&gt;=Config!$B$15,"B","C")))</x:f>
      </x:c>
      <x:c r="R56" s="13">
        <x:f>IF($A56="","",IF(O56&gt;=Config!$B$14,"Low",IF(O56&gt;=Config!$B$15,"Medium","High")))</x:f>
      </x:c>
      <x:c r="S56" s="13">
        <x:f>IF($A56="","",IF(F56="No","Mapear decisor e agendar reunião",IF(E56&gt;Config!$B$9,"Realizar follow-up estruturado",IF(R56="High","Reavaliar estratégia do deal","Avançar para próxima etapa"))))</x:f>
      </x:c>
      <x:c r="T56" s="13">
        <x:f>IF($A56="","","Score " &amp; O56 &amp; "/100; rating " &amp; Q56 &amp; "; friction " &amp; R56 &amp; ".")</x:f>
      </x:c>
    </x:row>
    <x:row r="57" ht="34" customHeight="1">
      <x:c r="A57" s="9" t="n"/>
      <x:c r="B57" s="9" t="n"/>
      <x:c r="C57" s="29" t="n"/>
      <x:c r="D57" s="9" t="n"/>
      <x:c r="E57" s="9" t="n"/>
      <x:c r="F57" s="9" t="n"/>
      <x:c r="G57" s="9" t="n"/>
      <x:c r="H57" s="30">
        <x:f>IF($A57="","",Config!$B$4)</x:f>
      </x:c>
      <x:c r="I57" s="30">
        <x:f>IF($A57="","",IF(C57&gt;Config!$B$5,Config!$B$6,0))</x:f>
      </x:c>
      <x:c r="J57" s="30">
        <x:f>IF($A57="","",IF(F57="Yes",Config!$B$7,0))</x:f>
      </x:c>
      <x:c r="K57" s="30">
        <x:f>IF($A57="","",IF(OR(D57="proposal",D57="negotiation"),Config!$B$8,0))</x:f>
      </x:c>
      <x:c r="L57" s="30">
        <x:f>IF($A57="","",IF(E57&gt;Config!$B$9,Config!$B$10,0))</x:f>
      </x:c>
      <x:c r="M57" s="30">
        <x:f>IF($A57="","",IF(G57&gt;=Config!$B$11,Config!$B$12,0))</x:f>
      </x:c>
      <x:c r="N57" s="30">
        <x:f>IF($A57="","",SUM(H57:M57))</x:f>
      </x:c>
      <x:c r="O57" s="30">
        <x:f>IF($A57="","",MAX(0,MIN(Config!$B$13,N57)))</x:f>
      </x:c>
      <x:c r="P57" s="12">
        <x:f>IF($A57="","",O57/Config!$B$13)</x:f>
      </x:c>
      <x:c r="Q57" s="13">
        <x:f>IF($A57="","",IF(O57&gt;=Config!$B$14,"A",IF(O57&gt;=Config!$B$15,"B","C")))</x:f>
      </x:c>
      <x:c r="R57" s="13">
        <x:f>IF($A57="","",IF(O57&gt;=Config!$B$14,"Low",IF(O57&gt;=Config!$B$15,"Medium","High")))</x:f>
      </x:c>
      <x:c r="S57" s="13">
        <x:f>IF($A57="","",IF(F57="No","Mapear decisor e agendar reunião",IF(E57&gt;Config!$B$9,"Realizar follow-up estruturado",IF(R57="High","Reavaliar estratégia do deal","Avançar para próxima etapa"))))</x:f>
      </x:c>
      <x:c r="T57" s="13">
        <x:f>IF($A57="","","Score " &amp; O57 &amp; "/100; rating " &amp; Q57 &amp; "; friction " &amp; R57 &amp; ".")</x:f>
      </x:c>
    </x:row>
    <x:row r="58" ht="34" customHeight="1">
      <x:c r="A58" s="9" t="n"/>
      <x:c r="B58" s="9" t="n"/>
      <x:c r="C58" s="29" t="n"/>
      <x:c r="D58" s="9" t="n"/>
      <x:c r="E58" s="9" t="n"/>
      <x:c r="F58" s="9" t="n"/>
      <x:c r="G58" s="9" t="n"/>
      <x:c r="H58" s="30">
        <x:f>IF($A58="","",Config!$B$4)</x:f>
      </x:c>
      <x:c r="I58" s="30">
        <x:f>IF($A58="","",IF(C58&gt;Config!$B$5,Config!$B$6,0))</x:f>
      </x:c>
      <x:c r="J58" s="30">
        <x:f>IF($A58="","",IF(F58="Yes",Config!$B$7,0))</x:f>
      </x:c>
      <x:c r="K58" s="30">
        <x:f>IF($A58="","",IF(OR(D58="proposal",D58="negotiation"),Config!$B$8,0))</x:f>
      </x:c>
      <x:c r="L58" s="30">
        <x:f>IF($A58="","",IF(E58&gt;Config!$B$9,Config!$B$10,0))</x:f>
      </x:c>
      <x:c r="M58" s="30">
        <x:f>IF($A58="","",IF(G58&gt;=Config!$B$11,Config!$B$12,0))</x:f>
      </x:c>
      <x:c r="N58" s="30">
        <x:f>IF($A58="","",SUM(H58:M58))</x:f>
      </x:c>
      <x:c r="O58" s="30">
        <x:f>IF($A58="","",MAX(0,MIN(Config!$B$13,N58)))</x:f>
      </x:c>
      <x:c r="P58" s="12">
        <x:f>IF($A58="","",O58/Config!$B$13)</x:f>
      </x:c>
      <x:c r="Q58" s="13">
        <x:f>IF($A58="","",IF(O58&gt;=Config!$B$14,"A",IF(O58&gt;=Config!$B$15,"B","C")))</x:f>
      </x:c>
      <x:c r="R58" s="13">
        <x:f>IF($A58="","",IF(O58&gt;=Config!$B$14,"Low",IF(O58&gt;=Config!$B$15,"Medium","High")))</x:f>
      </x:c>
      <x:c r="S58" s="13">
        <x:f>IF($A58="","",IF(F58="No","Mapear decisor e agendar reunião",IF(E58&gt;Config!$B$9,"Realizar follow-up estruturado",IF(R58="High","Reavaliar estratégia do deal","Avançar para próxima etapa"))))</x:f>
      </x:c>
      <x:c r="T58" s="13">
        <x:f>IF($A58="","","Score " &amp; O58 &amp; "/100; rating " &amp; Q58 &amp; "; friction " &amp; R58 &amp; ".")</x:f>
      </x:c>
    </x:row>
    <x:row r="59" ht="34" customHeight="1">
      <x:c r="A59" s="9" t="n"/>
      <x:c r="B59" s="9" t="n"/>
      <x:c r="C59" s="29" t="n"/>
      <x:c r="D59" s="9" t="n"/>
      <x:c r="E59" s="9" t="n"/>
      <x:c r="F59" s="9" t="n"/>
      <x:c r="G59" s="9" t="n"/>
      <x:c r="H59" s="30">
        <x:f>IF($A59="","",Config!$B$4)</x:f>
      </x:c>
      <x:c r="I59" s="30">
        <x:f>IF($A59="","",IF(C59&gt;Config!$B$5,Config!$B$6,0))</x:f>
      </x:c>
      <x:c r="J59" s="30">
        <x:f>IF($A59="","",IF(F59="Yes",Config!$B$7,0))</x:f>
      </x:c>
      <x:c r="K59" s="30">
        <x:f>IF($A59="","",IF(OR(D59="proposal",D59="negotiation"),Config!$B$8,0))</x:f>
      </x:c>
      <x:c r="L59" s="30">
        <x:f>IF($A59="","",IF(E59&gt;Config!$B$9,Config!$B$10,0))</x:f>
      </x:c>
      <x:c r="M59" s="30">
        <x:f>IF($A59="","",IF(G59&gt;=Config!$B$11,Config!$B$12,0))</x:f>
      </x:c>
      <x:c r="N59" s="30">
        <x:f>IF($A59="","",SUM(H59:M59))</x:f>
      </x:c>
      <x:c r="O59" s="30">
        <x:f>IF($A59="","",MAX(0,MIN(Config!$B$13,N59)))</x:f>
      </x:c>
      <x:c r="P59" s="12">
        <x:f>IF($A59="","",O59/Config!$B$13)</x:f>
      </x:c>
      <x:c r="Q59" s="13">
        <x:f>IF($A59="","",IF(O59&gt;=Config!$B$14,"A",IF(O59&gt;=Config!$B$15,"B","C")))</x:f>
      </x:c>
      <x:c r="R59" s="13">
        <x:f>IF($A59="","",IF(O59&gt;=Config!$B$14,"Low",IF(O59&gt;=Config!$B$15,"Medium","High")))</x:f>
      </x:c>
      <x:c r="S59" s="13">
        <x:f>IF($A59="","",IF(F59="No","Mapear decisor e agendar reunião",IF(E59&gt;Config!$B$9,"Realizar follow-up estruturado",IF(R59="High","Reavaliar estratégia do deal","Avançar para próxima etapa"))))</x:f>
      </x:c>
      <x:c r="T59" s="13">
        <x:f>IF($A59="","","Score " &amp; O59 &amp; "/100; rating " &amp; Q59 &amp; "; friction " &amp; R59 &amp; ".")</x:f>
      </x:c>
    </x:row>
    <x:row r="60" ht="34" customHeight="1">
      <x:c r="A60" s="9" t="n"/>
      <x:c r="B60" s="9" t="n"/>
      <x:c r="C60" s="29" t="n"/>
      <x:c r="D60" s="9" t="n"/>
      <x:c r="E60" s="9" t="n"/>
      <x:c r="F60" s="9" t="n"/>
      <x:c r="G60" s="9" t="n"/>
      <x:c r="H60" s="30">
        <x:f>IF($A60="","",Config!$B$4)</x:f>
      </x:c>
      <x:c r="I60" s="30">
        <x:f>IF($A60="","",IF(C60&gt;Config!$B$5,Config!$B$6,0))</x:f>
      </x:c>
      <x:c r="J60" s="30">
        <x:f>IF($A60="","",IF(F60="Yes",Config!$B$7,0))</x:f>
      </x:c>
      <x:c r="K60" s="30">
        <x:f>IF($A60="","",IF(OR(D60="proposal",D60="negotiation"),Config!$B$8,0))</x:f>
      </x:c>
      <x:c r="L60" s="30">
        <x:f>IF($A60="","",IF(E60&gt;Config!$B$9,Config!$B$10,0))</x:f>
      </x:c>
      <x:c r="M60" s="30">
        <x:f>IF($A60="","",IF(G60&gt;=Config!$B$11,Config!$B$12,0))</x:f>
      </x:c>
      <x:c r="N60" s="30">
        <x:f>IF($A60="","",SUM(H60:M60))</x:f>
      </x:c>
      <x:c r="O60" s="30">
        <x:f>IF($A60="","",MAX(0,MIN(Config!$B$13,N60)))</x:f>
      </x:c>
      <x:c r="P60" s="12">
        <x:f>IF($A60="","",O60/Config!$B$13)</x:f>
      </x:c>
      <x:c r="Q60" s="13">
        <x:f>IF($A60="","",IF(O60&gt;=Config!$B$14,"A",IF(O60&gt;=Config!$B$15,"B","C")))</x:f>
      </x:c>
      <x:c r="R60" s="13">
        <x:f>IF($A60="","",IF(O60&gt;=Config!$B$14,"Low",IF(O60&gt;=Config!$B$15,"Medium","High")))</x:f>
      </x:c>
      <x:c r="S60" s="13">
        <x:f>IF($A60="","",IF(F60="No","Mapear decisor e agendar reunião",IF(E60&gt;Config!$B$9,"Realizar follow-up estruturado",IF(R60="High","Reavaliar estratégia do deal","Avançar para próxima etapa"))))</x:f>
      </x:c>
      <x:c r="T60" s="13">
        <x:f>IF($A60="","","Score " &amp; O60 &amp; "/100; rating " &amp; Q60 &amp; "; friction " &amp; R60 &amp; ".")</x:f>
      </x:c>
    </x:row>
    <x:row r="61" ht="34" customHeight="1">
      <x:c r="A61" s="9" t="n"/>
      <x:c r="B61" s="9" t="n"/>
      <x:c r="C61" s="29" t="n"/>
      <x:c r="D61" s="9" t="n"/>
      <x:c r="E61" s="9" t="n"/>
      <x:c r="F61" s="9" t="n"/>
      <x:c r="G61" s="9" t="n"/>
      <x:c r="H61" s="30">
        <x:f>IF($A61="","",Config!$B$4)</x:f>
      </x:c>
      <x:c r="I61" s="30">
        <x:f>IF($A61="","",IF(C61&gt;Config!$B$5,Config!$B$6,0))</x:f>
      </x:c>
      <x:c r="J61" s="30">
        <x:f>IF($A61="","",IF(F61="Yes",Config!$B$7,0))</x:f>
      </x:c>
      <x:c r="K61" s="30">
        <x:f>IF($A61="","",IF(OR(D61="proposal",D61="negotiation"),Config!$B$8,0))</x:f>
      </x:c>
      <x:c r="L61" s="30">
        <x:f>IF($A61="","",IF(E61&gt;Config!$B$9,Config!$B$10,0))</x:f>
      </x:c>
      <x:c r="M61" s="30">
        <x:f>IF($A61="","",IF(G61&gt;=Config!$B$11,Config!$B$12,0))</x:f>
      </x:c>
      <x:c r="N61" s="30">
        <x:f>IF($A61="","",SUM(H61:M61))</x:f>
      </x:c>
      <x:c r="O61" s="30">
        <x:f>IF($A61="","",MAX(0,MIN(Config!$B$13,N61)))</x:f>
      </x:c>
      <x:c r="P61" s="12">
        <x:f>IF($A61="","",O61/Config!$B$13)</x:f>
      </x:c>
      <x:c r="Q61" s="13">
        <x:f>IF($A61="","",IF(O61&gt;=Config!$B$14,"A",IF(O61&gt;=Config!$B$15,"B","C")))</x:f>
      </x:c>
      <x:c r="R61" s="13">
        <x:f>IF($A61="","",IF(O61&gt;=Config!$B$14,"Low",IF(O61&gt;=Config!$B$15,"Medium","High")))</x:f>
      </x:c>
      <x:c r="S61" s="13">
        <x:f>IF($A61="","",IF(F61="No","Mapear decisor e agendar reunião",IF(E61&gt;Config!$B$9,"Realizar follow-up estruturado",IF(R61="High","Reavaliar estratégia do deal","Avançar para próxima etapa"))))</x:f>
      </x:c>
      <x:c r="T61" s="13">
        <x:f>IF($A61="","","Score " &amp; O61 &amp; "/100; rating " &amp; Q61 &amp; "; friction " &amp; R61 &amp; ".")</x:f>
      </x:c>
    </x:row>
    <x:row r="62" ht="34" customHeight="1">
      <x:c r="A62" s="9" t="n"/>
      <x:c r="B62" s="9" t="n"/>
      <x:c r="C62" s="29" t="n"/>
      <x:c r="D62" s="9" t="n"/>
      <x:c r="E62" s="9" t="n"/>
      <x:c r="F62" s="9" t="n"/>
      <x:c r="G62" s="9" t="n"/>
      <x:c r="H62" s="30">
        <x:f>IF($A62="","",Config!$B$4)</x:f>
      </x:c>
      <x:c r="I62" s="30">
        <x:f>IF($A62="","",IF(C62&gt;Config!$B$5,Config!$B$6,0))</x:f>
      </x:c>
      <x:c r="J62" s="30">
        <x:f>IF($A62="","",IF(F62="Yes",Config!$B$7,0))</x:f>
      </x:c>
      <x:c r="K62" s="30">
        <x:f>IF($A62="","",IF(OR(D62="proposal",D62="negotiation"),Config!$B$8,0))</x:f>
      </x:c>
      <x:c r="L62" s="30">
        <x:f>IF($A62="","",IF(E62&gt;Config!$B$9,Config!$B$10,0))</x:f>
      </x:c>
      <x:c r="M62" s="30">
        <x:f>IF($A62="","",IF(G62&gt;=Config!$B$11,Config!$B$12,0))</x:f>
      </x:c>
      <x:c r="N62" s="30">
        <x:f>IF($A62="","",SUM(H62:M62))</x:f>
      </x:c>
      <x:c r="O62" s="30">
        <x:f>IF($A62="","",MAX(0,MIN(Config!$B$13,N62)))</x:f>
      </x:c>
      <x:c r="P62" s="12">
        <x:f>IF($A62="","",O62/Config!$B$13)</x:f>
      </x:c>
      <x:c r="Q62" s="13">
        <x:f>IF($A62="","",IF(O62&gt;=Config!$B$14,"A",IF(O62&gt;=Config!$B$15,"B","C")))</x:f>
      </x:c>
      <x:c r="R62" s="13">
        <x:f>IF($A62="","",IF(O62&gt;=Config!$B$14,"Low",IF(O62&gt;=Config!$B$15,"Medium","High")))</x:f>
      </x:c>
      <x:c r="S62" s="13">
        <x:f>IF($A62="","",IF(F62="No","Mapear decisor e agendar reunião",IF(E62&gt;Config!$B$9,"Realizar follow-up estruturado",IF(R62="High","Reavaliar estratégia do deal","Avançar para próxima etapa"))))</x:f>
      </x:c>
      <x:c r="T62" s="13">
        <x:f>IF($A62="","","Score " &amp; O62 &amp; "/100; rating " &amp; Q62 &amp; "; friction " &amp; R62 &amp; ".")</x:f>
      </x:c>
    </x:row>
    <x:row r="63" ht="34" customHeight="1">
      <x:c r="A63" s="9" t="n"/>
      <x:c r="B63" s="9" t="n"/>
      <x:c r="C63" s="29" t="n"/>
      <x:c r="D63" s="9" t="n"/>
      <x:c r="E63" s="9" t="n"/>
      <x:c r="F63" s="9" t="n"/>
      <x:c r="G63" s="9" t="n"/>
      <x:c r="H63" s="30">
        <x:f>IF($A63="","",Config!$B$4)</x:f>
      </x:c>
      <x:c r="I63" s="30">
        <x:f>IF($A63="","",IF(C63&gt;Config!$B$5,Config!$B$6,0))</x:f>
      </x:c>
      <x:c r="J63" s="30">
        <x:f>IF($A63="","",IF(F63="Yes",Config!$B$7,0))</x:f>
      </x:c>
      <x:c r="K63" s="30">
        <x:f>IF($A63="","",IF(OR(D63="proposal",D63="negotiation"),Config!$B$8,0))</x:f>
      </x:c>
      <x:c r="L63" s="30">
        <x:f>IF($A63="","",IF(E63&gt;Config!$B$9,Config!$B$10,0))</x:f>
      </x:c>
      <x:c r="M63" s="30">
        <x:f>IF($A63="","",IF(G63&gt;=Config!$B$11,Config!$B$12,0))</x:f>
      </x:c>
      <x:c r="N63" s="30">
        <x:f>IF($A63="","",SUM(H63:M63))</x:f>
      </x:c>
      <x:c r="O63" s="30">
        <x:f>IF($A63="","",MAX(0,MIN(Config!$B$13,N63)))</x:f>
      </x:c>
      <x:c r="P63" s="12">
        <x:f>IF($A63="","",O63/Config!$B$13)</x:f>
      </x:c>
      <x:c r="Q63" s="13">
        <x:f>IF($A63="","",IF(O63&gt;=Config!$B$14,"A",IF(O63&gt;=Config!$B$15,"B","C")))</x:f>
      </x:c>
      <x:c r="R63" s="13">
        <x:f>IF($A63="","",IF(O63&gt;=Config!$B$14,"Low",IF(O63&gt;=Config!$B$15,"Medium","High")))</x:f>
      </x:c>
      <x:c r="S63" s="13">
        <x:f>IF($A63="","",IF(F63="No","Mapear decisor e agendar reunião",IF(E63&gt;Config!$B$9,"Realizar follow-up estruturado",IF(R63="High","Reavaliar estratégia do deal","Avançar para próxima etapa"))))</x:f>
      </x:c>
      <x:c r="T63" s="13">
        <x:f>IF($A63="","","Score " &amp; O63 &amp; "/100; rating " &amp; Q63 &amp; "; friction " &amp; R63 &amp; ".")</x:f>
      </x:c>
    </x:row>
    <x:row r="64" ht="34" customHeight="1">
      <x:c r="A64" s="9" t="n"/>
      <x:c r="B64" s="9" t="n"/>
      <x:c r="C64" s="29" t="n"/>
      <x:c r="D64" s="9" t="n"/>
      <x:c r="E64" s="9" t="n"/>
      <x:c r="F64" s="9" t="n"/>
      <x:c r="G64" s="9" t="n"/>
      <x:c r="H64" s="30">
        <x:f>IF($A64="","",Config!$B$4)</x:f>
      </x:c>
      <x:c r="I64" s="30">
        <x:f>IF($A64="","",IF(C64&gt;Config!$B$5,Config!$B$6,0))</x:f>
      </x:c>
      <x:c r="J64" s="30">
        <x:f>IF($A64="","",IF(F64="Yes",Config!$B$7,0))</x:f>
      </x:c>
      <x:c r="K64" s="30">
        <x:f>IF($A64="","",IF(OR(D64="proposal",D64="negotiation"),Config!$B$8,0))</x:f>
      </x:c>
      <x:c r="L64" s="30">
        <x:f>IF($A64="","",IF(E64&gt;Config!$B$9,Config!$B$10,0))</x:f>
      </x:c>
      <x:c r="M64" s="30">
        <x:f>IF($A64="","",IF(G64&gt;=Config!$B$11,Config!$B$12,0))</x:f>
      </x:c>
      <x:c r="N64" s="30">
        <x:f>IF($A64="","",SUM(H64:M64))</x:f>
      </x:c>
      <x:c r="O64" s="30">
        <x:f>IF($A64="","",MAX(0,MIN(Config!$B$13,N64)))</x:f>
      </x:c>
      <x:c r="P64" s="12">
        <x:f>IF($A64="","",O64/Config!$B$13)</x:f>
      </x:c>
      <x:c r="Q64" s="13">
        <x:f>IF($A64="","",IF(O64&gt;=Config!$B$14,"A",IF(O64&gt;=Config!$B$15,"B","C")))</x:f>
      </x:c>
      <x:c r="R64" s="13">
        <x:f>IF($A64="","",IF(O64&gt;=Config!$B$14,"Low",IF(O64&gt;=Config!$B$15,"Medium","High")))</x:f>
      </x:c>
      <x:c r="S64" s="13">
        <x:f>IF($A64="","",IF(F64="No","Mapear decisor e agendar reunião",IF(E64&gt;Config!$B$9,"Realizar follow-up estruturado",IF(R64="High","Reavaliar estratégia do deal","Avançar para próxima etapa"))))</x:f>
      </x:c>
      <x:c r="T64" s="13">
        <x:f>IF($A64="","","Score " &amp; O64 &amp; "/100; rating " &amp; Q64 &amp; "; friction " &amp; R64 &amp; ".")</x:f>
      </x:c>
    </x:row>
    <x:row r="65" ht="34" customHeight="1">
      <x:c r="A65" s="9" t="n"/>
      <x:c r="B65" s="9" t="n"/>
      <x:c r="C65" s="29" t="n"/>
      <x:c r="D65" s="9" t="n"/>
      <x:c r="E65" s="9" t="n"/>
      <x:c r="F65" s="9" t="n"/>
      <x:c r="G65" s="9" t="n"/>
      <x:c r="H65" s="30">
        <x:f>IF($A65="","",Config!$B$4)</x:f>
      </x:c>
      <x:c r="I65" s="30">
        <x:f>IF($A65="","",IF(C65&gt;Config!$B$5,Config!$B$6,0))</x:f>
      </x:c>
      <x:c r="J65" s="30">
        <x:f>IF($A65="","",IF(F65="Yes",Config!$B$7,0))</x:f>
      </x:c>
      <x:c r="K65" s="30">
        <x:f>IF($A65="","",IF(OR(D65="proposal",D65="negotiation"),Config!$B$8,0))</x:f>
      </x:c>
      <x:c r="L65" s="30">
        <x:f>IF($A65="","",IF(E65&gt;Config!$B$9,Config!$B$10,0))</x:f>
      </x:c>
      <x:c r="M65" s="30">
        <x:f>IF($A65="","",IF(G65&gt;=Config!$B$11,Config!$B$12,0))</x:f>
      </x:c>
      <x:c r="N65" s="30">
        <x:f>IF($A65="","",SUM(H65:M65))</x:f>
      </x:c>
      <x:c r="O65" s="30">
        <x:f>IF($A65="","",MAX(0,MIN(Config!$B$13,N65)))</x:f>
      </x:c>
      <x:c r="P65" s="12">
        <x:f>IF($A65="","",O65/Config!$B$13)</x:f>
      </x:c>
      <x:c r="Q65" s="13">
        <x:f>IF($A65="","",IF(O65&gt;=Config!$B$14,"A",IF(O65&gt;=Config!$B$15,"B","C")))</x:f>
      </x:c>
      <x:c r="R65" s="13">
        <x:f>IF($A65="","",IF(O65&gt;=Config!$B$14,"Low",IF(O65&gt;=Config!$B$15,"Medium","High")))</x:f>
      </x:c>
      <x:c r="S65" s="13">
        <x:f>IF($A65="","",IF(F65="No","Mapear decisor e agendar reunião",IF(E65&gt;Config!$B$9,"Realizar follow-up estruturado",IF(R65="High","Reavaliar estratégia do deal","Avançar para próxima etapa"))))</x:f>
      </x:c>
      <x:c r="T65" s="13">
        <x:f>IF($A65="","","Score " &amp; O65 &amp; "/100; rating " &amp; Q65 &amp; "; friction " &amp; R65 &amp; ".")</x:f>
      </x:c>
    </x:row>
    <x:row r="66" ht="34" customHeight="1">
      <x:c r="A66" s="9" t="n"/>
      <x:c r="B66" s="9" t="n"/>
      <x:c r="C66" s="29" t="n"/>
      <x:c r="D66" s="9" t="n"/>
      <x:c r="E66" s="9" t="n"/>
      <x:c r="F66" s="9" t="n"/>
      <x:c r="G66" s="9" t="n"/>
      <x:c r="H66" s="30">
        <x:f>IF($A66="","",Config!$B$4)</x:f>
      </x:c>
      <x:c r="I66" s="30">
        <x:f>IF($A66="","",IF(C66&gt;Config!$B$5,Config!$B$6,0))</x:f>
      </x:c>
      <x:c r="J66" s="30">
        <x:f>IF($A66="","",IF(F66="Yes",Config!$B$7,0))</x:f>
      </x:c>
      <x:c r="K66" s="30">
        <x:f>IF($A66="","",IF(OR(D66="proposal",D66="negotiation"),Config!$B$8,0))</x:f>
      </x:c>
      <x:c r="L66" s="30">
        <x:f>IF($A66="","",IF(E66&gt;Config!$B$9,Config!$B$10,0))</x:f>
      </x:c>
      <x:c r="M66" s="30">
        <x:f>IF($A66="","",IF(G66&gt;=Config!$B$11,Config!$B$12,0))</x:f>
      </x:c>
      <x:c r="N66" s="30">
        <x:f>IF($A66="","",SUM(H66:M66))</x:f>
      </x:c>
      <x:c r="O66" s="30">
        <x:f>IF($A66="","",MAX(0,MIN(Config!$B$13,N66)))</x:f>
      </x:c>
      <x:c r="P66" s="12">
        <x:f>IF($A66="","",O66/Config!$B$13)</x:f>
      </x:c>
      <x:c r="Q66" s="13">
        <x:f>IF($A66="","",IF(O66&gt;=Config!$B$14,"A",IF(O66&gt;=Config!$B$15,"B","C")))</x:f>
      </x:c>
      <x:c r="R66" s="13">
        <x:f>IF($A66="","",IF(O66&gt;=Config!$B$14,"Low",IF(O66&gt;=Config!$B$15,"Medium","High")))</x:f>
      </x:c>
      <x:c r="S66" s="13">
        <x:f>IF($A66="","",IF(F66="No","Mapear decisor e agendar reunião",IF(E66&gt;Config!$B$9,"Realizar follow-up estruturado",IF(R66="High","Reavaliar estratégia do deal","Avançar para próxima etapa"))))</x:f>
      </x:c>
      <x:c r="T66" s="13">
        <x:f>IF($A66="","","Score " &amp; O66 &amp; "/100; rating " &amp; Q66 &amp; "; friction " &amp; R66 &amp; ".")</x:f>
      </x:c>
    </x:row>
    <x:row r="67" ht="34" customHeight="1">
      <x:c r="A67" s="9" t="n"/>
      <x:c r="B67" s="9" t="n"/>
      <x:c r="C67" s="29" t="n"/>
      <x:c r="D67" s="9" t="n"/>
      <x:c r="E67" s="9" t="n"/>
      <x:c r="F67" s="9" t="n"/>
      <x:c r="G67" s="9" t="n"/>
      <x:c r="H67" s="30">
        <x:f>IF($A67="","",Config!$B$4)</x:f>
      </x:c>
      <x:c r="I67" s="30">
        <x:f>IF($A67="","",IF(C67&gt;Config!$B$5,Config!$B$6,0))</x:f>
      </x:c>
      <x:c r="J67" s="30">
        <x:f>IF($A67="","",IF(F67="Yes",Config!$B$7,0))</x:f>
      </x:c>
      <x:c r="K67" s="30">
        <x:f>IF($A67="","",IF(OR(D67="proposal",D67="negotiation"),Config!$B$8,0))</x:f>
      </x:c>
      <x:c r="L67" s="30">
        <x:f>IF($A67="","",IF(E67&gt;Config!$B$9,Config!$B$10,0))</x:f>
      </x:c>
      <x:c r="M67" s="30">
        <x:f>IF($A67="","",IF(G67&gt;=Config!$B$11,Config!$B$12,0))</x:f>
      </x:c>
      <x:c r="N67" s="30">
        <x:f>IF($A67="","",SUM(H67:M67))</x:f>
      </x:c>
      <x:c r="O67" s="30">
        <x:f>IF($A67="","",MAX(0,MIN(Config!$B$13,N67)))</x:f>
      </x:c>
      <x:c r="P67" s="12">
        <x:f>IF($A67="","",O67/Config!$B$13)</x:f>
      </x:c>
      <x:c r="Q67" s="13">
        <x:f>IF($A67="","",IF(O67&gt;=Config!$B$14,"A",IF(O67&gt;=Config!$B$15,"B","C")))</x:f>
      </x:c>
      <x:c r="R67" s="13">
        <x:f>IF($A67="","",IF(O67&gt;=Config!$B$14,"Low",IF(O67&gt;=Config!$B$15,"Medium","High")))</x:f>
      </x:c>
      <x:c r="S67" s="13">
        <x:f>IF($A67="","",IF(F67="No","Mapear decisor e agendar reunião",IF(E67&gt;Config!$B$9,"Realizar follow-up estruturado",IF(R67="High","Reavaliar estratégia do deal","Avançar para próxima etapa"))))</x:f>
      </x:c>
      <x:c r="T67" s="13">
        <x:f>IF($A67="","","Score " &amp; O67 &amp; "/100; rating " &amp; Q67 &amp; "; friction " &amp; R67 &amp; ".")</x:f>
      </x:c>
    </x:row>
    <x:row r="68" ht="34" customHeight="1">
      <x:c r="A68" s="9" t="n"/>
      <x:c r="B68" s="9" t="n"/>
      <x:c r="C68" s="29" t="n"/>
      <x:c r="D68" s="9" t="n"/>
      <x:c r="E68" s="9" t="n"/>
      <x:c r="F68" s="9" t="n"/>
      <x:c r="G68" s="9" t="n"/>
      <x:c r="H68" s="30">
        <x:f>IF($A68="","",Config!$B$4)</x:f>
      </x:c>
      <x:c r="I68" s="30">
        <x:f>IF($A68="","",IF(C68&gt;Config!$B$5,Config!$B$6,0))</x:f>
      </x:c>
      <x:c r="J68" s="30">
        <x:f>IF($A68="","",IF(F68="Yes",Config!$B$7,0))</x:f>
      </x:c>
      <x:c r="K68" s="30">
        <x:f>IF($A68="","",IF(OR(D68="proposal",D68="negotiation"),Config!$B$8,0))</x:f>
      </x:c>
      <x:c r="L68" s="30">
        <x:f>IF($A68="","",IF(E68&gt;Config!$B$9,Config!$B$10,0))</x:f>
      </x:c>
      <x:c r="M68" s="30">
        <x:f>IF($A68="","",IF(G68&gt;=Config!$B$11,Config!$B$12,0))</x:f>
      </x:c>
      <x:c r="N68" s="30">
        <x:f>IF($A68="","",SUM(H68:M68))</x:f>
      </x:c>
      <x:c r="O68" s="30">
        <x:f>IF($A68="","",MAX(0,MIN(Config!$B$13,N68)))</x:f>
      </x:c>
      <x:c r="P68" s="12">
        <x:f>IF($A68="","",O68/Config!$B$13)</x:f>
      </x:c>
      <x:c r="Q68" s="13">
        <x:f>IF($A68="","",IF(O68&gt;=Config!$B$14,"A",IF(O68&gt;=Config!$B$15,"B","C")))</x:f>
      </x:c>
      <x:c r="R68" s="13">
        <x:f>IF($A68="","",IF(O68&gt;=Config!$B$14,"Low",IF(O68&gt;=Config!$B$15,"Medium","High")))</x:f>
      </x:c>
      <x:c r="S68" s="13">
        <x:f>IF($A68="","",IF(F68="No","Mapear decisor e agendar reunião",IF(E68&gt;Config!$B$9,"Realizar follow-up estruturado",IF(R68="High","Reavaliar estratégia do deal","Avançar para próxima etapa"))))</x:f>
      </x:c>
      <x:c r="T68" s="13">
        <x:f>IF($A68="","","Score " &amp; O68 &amp; "/100; rating " &amp; Q68 &amp; "; friction " &amp; R68 &amp; ".")</x:f>
      </x:c>
    </x:row>
    <x:row r="69" ht="34" customHeight="1">
      <x:c r="A69" s="9" t="n"/>
      <x:c r="B69" s="9" t="n"/>
      <x:c r="C69" s="29" t="n"/>
      <x:c r="D69" s="9" t="n"/>
      <x:c r="E69" s="9" t="n"/>
      <x:c r="F69" s="9" t="n"/>
      <x:c r="G69" s="9" t="n"/>
      <x:c r="H69" s="30">
        <x:f>IF($A69="","",Config!$B$4)</x:f>
      </x:c>
      <x:c r="I69" s="30">
        <x:f>IF($A69="","",IF(C69&gt;Config!$B$5,Config!$B$6,0))</x:f>
      </x:c>
      <x:c r="J69" s="30">
        <x:f>IF($A69="","",IF(F69="Yes",Config!$B$7,0))</x:f>
      </x:c>
      <x:c r="K69" s="30">
        <x:f>IF($A69="","",IF(OR(D69="proposal",D69="negotiation"),Config!$B$8,0))</x:f>
      </x:c>
      <x:c r="L69" s="30">
        <x:f>IF($A69="","",IF(E69&gt;Config!$B$9,Config!$B$10,0))</x:f>
      </x:c>
      <x:c r="M69" s="30">
        <x:f>IF($A69="","",IF(G69&gt;=Config!$B$11,Config!$B$12,0))</x:f>
      </x:c>
      <x:c r="N69" s="30">
        <x:f>IF($A69="","",SUM(H69:M69))</x:f>
      </x:c>
      <x:c r="O69" s="30">
        <x:f>IF($A69="","",MAX(0,MIN(Config!$B$13,N69)))</x:f>
      </x:c>
      <x:c r="P69" s="12">
        <x:f>IF($A69="","",O69/Config!$B$13)</x:f>
      </x:c>
      <x:c r="Q69" s="13">
        <x:f>IF($A69="","",IF(O69&gt;=Config!$B$14,"A",IF(O69&gt;=Config!$B$15,"B","C")))</x:f>
      </x:c>
      <x:c r="R69" s="13">
        <x:f>IF($A69="","",IF(O69&gt;=Config!$B$14,"Low",IF(O69&gt;=Config!$B$15,"Medium","High")))</x:f>
      </x:c>
      <x:c r="S69" s="13">
        <x:f>IF($A69="","",IF(F69="No","Mapear decisor e agendar reunião",IF(E69&gt;Config!$B$9,"Realizar follow-up estruturado",IF(R69="High","Reavaliar estratégia do deal","Avançar para próxima etapa"))))</x:f>
      </x:c>
      <x:c r="T69" s="13">
        <x:f>IF($A69="","","Score " &amp; O69 &amp; "/100; rating " &amp; Q69 &amp; "; friction " &amp; R69 &amp; ".")</x:f>
      </x:c>
    </x:row>
    <x:row r="70" ht="34" customHeight="1">
      <x:c r="A70" s="9" t="n"/>
      <x:c r="B70" s="9" t="n"/>
      <x:c r="C70" s="29" t="n"/>
      <x:c r="D70" s="9" t="n"/>
      <x:c r="E70" s="9" t="n"/>
      <x:c r="F70" s="9" t="n"/>
      <x:c r="G70" s="9" t="n"/>
      <x:c r="H70" s="30">
        <x:f>IF($A70="","",Config!$B$4)</x:f>
      </x:c>
      <x:c r="I70" s="30">
        <x:f>IF($A70="","",IF(C70&gt;Config!$B$5,Config!$B$6,0))</x:f>
      </x:c>
      <x:c r="J70" s="30">
        <x:f>IF($A70="","",IF(F70="Yes",Config!$B$7,0))</x:f>
      </x:c>
      <x:c r="K70" s="30">
        <x:f>IF($A70="","",IF(OR(D70="proposal",D70="negotiation"),Config!$B$8,0))</x:f>
      </x:c>
      <x:c r="L70" s="30">
        <x:f>IF($A70="","",IF(E70&gt;Config!$B$9,Config!$B$10,0))</x:f>
      </x:c>
      <x:c r="M70" s="30">
        <x:f>IF($A70="","",IF(G70&gt;=Config!$B$11,Config!$B$12,0))</x:f>
      </x:c>
      <x:c r="N70" s="30">
        <x:f>IF($A70="","",SUM(H70:M70))</x:f>
      </x:c>
      <x:c r="O70" s="30">
        <x:f>IF($A70="","",MAX(0,MIN(Config!$B$13,N70)))</x:f>
      </x:c>
      <x:c r="P70" s="12">
        <x:f>IF($A70="","",O70/Config!$B$13)</x:f>
      </x:c>
      <x:c r="Q70" s="13">
        <x:f>IF($A70="","",IF(O70&gt;=Config!$B$14,"A",IF(O70&gt;=Config!$B$15,"B","C")))</x:f>
      </x:c>
      <x:c r="R70" s="13">
        <x:f>IF($A70="","",IF(O70&gt;=Config!$B$14,"Low",IF(O70&gt;=Config!$B$15,"Medium","High")))</x:f>
      </x:c>
      <x:c r="S70" s="13">
        <x:f>IF($A70="","",IF(F70="No","Mapear decisor e agendar reunião",IF(E70&gt;Config!$B$9,"Realizar follow-up estruturado",IF(R70="High","Reavaliar estratégia do deal","Avançar para próxima etapa"))))</x:f>
      </x:c>
      <x:c r="T70" s="13">
        <x:f>IF($A70="","","Score " &amp; O70 &amp; "/100; rating " &amp; Q70 &amp; "; friction " &amp; R70 &amp; ".")</x:f>
      </x:c>
    </x:row>
    <x:row r="71" ht="34" customHeight="1">
      <x:c r="A71" s="9" t="n"/>
      <x:c r="B71" s="9" t="n"/>
      <x:c r="C71" s="29" t="n"/>
      <x:c r="D71" s="9" t="n"/>
      <x:c r="E71" s="9" t="n"/>
      <x:c r="F71" s="9" t="n"/>
      <x:c r="G71" s="9" t="n"/>
      <x:c r="H71" s="30">
        <x:f>IF($A71="","",Config!$B$4)</x:f>
      </x:c>
      <x:c r="I71" s="30">
        <x:f>IF($A71="","",IF(C71&gt;Config!$B$5,Config!$B$6,0))</x:f>
      </x:c>
      <x:c r="J71" s="30">
        <x:f>IF($A71="","",IF(F71="Yes",Config!$B$7,0))</x:f>
      </x:c>
      <x:c r="K71" s="30">
        <x:f>IF($A71="","",IF(OR(D71="proposal",D71="negotiation"),Config!$B$8,0))</x:f>
      </x:c>
      <x:c r="L71" s="30">
        <x:f>IF($A71="","",IF(E71&gt;Config!$B$9,Config!$B$10,0))</x:f>
      </x:c>
      <x:c r="M71" s="30">
        <x:f>IF($A71="","",IF(G71&gt;=Config!$B$11,Config!$B$12,0))</x:f>
      </x:c>
      <x:c r="N71" s="30">
        <x:f>IF($A71="","",SUM(H71:M71))</x:f>
      </x:c>
      <x:c r="O71" s="30">
        <x:f>IF($A71="","",MAX(0,MIN(Config!$B$13,N71)))</x:f>
      </x:c>
      <x:c r="P71" s="12">
        <x:f>IF($A71="","",O71/Config!$B$13)</x:f>
      </x:c>
      <x:c r="Q71" s="13">
        <x:f>IF($A71="","",IF(O71&gt;=Config!$B$14,"A",IF(O71&gt;=Config!$B$15,"B","C")))</x:f>
      </x:c>
      <x:c r="R71" s="13">
        <x:f>IF($A71="","",IF(O71&gt;=Config!$B$14,"Low",IF(O71&gt;=Config!$B$15,"Medium","High")))</x:f>
      </x:c>
      <x:c r="S71" s="13">
        <x:f>IF($A71="","",IF(F71="No","Mapear decisor e agendar reunião",IF(E71&gt;Config!$B$9,"Realizar follow-up estruturado",IF(R71="High","Reavaliar estratégia do deal","Avançar para próxima etapa"))))</x:f>
      </x:c>
      <x:c r="T71" s="13">
        <x:f>IF($A71="","","Score " &amp; O71 &amp; "/100; rating " &amp; Q71 &amp; "; friction " &amp; R71 &amp; ".")</x:f>
      </x:c>
    </x:row>
    <x:row r="72" ht="34" customHeight="1">
      <x:c r="A72" s="9" t="n"/>
      <x:c r="B72" s="9" t="n"/>
      <x:c r="C72" s="29" t="n"/>
      <x:c r="D72" s="9" t="n"/>
      <x:c r="E72" s="9" t="n"/>
      <x:c r="F72" s="9" t="n"/>
      <x:c r="G72" s="9" t="n"/>
      <x:c r="H72" s="30">
        <x:f>IF($A72="","",Config!$B$4)</x:f>
      </x:c>
      <x:c r="I72" s="30">
        <x:f>IF($A72="","",IF(C72&gt;Config!$B$5,Config!$B$6,0))</x:f>
      </x:c>
      <x:c r="J72" s="30">
        <x:f>IF($A72="","",IF(F72="Yes",Config!$B$7,0))</x:f>
      </x:c>
      <x:c r="K72" s="30">
        <x:f>IF($A72="","",IF(OR(D72="proposal",D72="negotiation"),Config!$B$8,0))</x:f>
      </x:c>
      <x:c r="L72" s="30">
        <x:f>IF($A72="","",IF(E72&gt;Config!$B$9,Config!$B$10,0))</x:f>
      </x:c>
      <x:c r="M72" s="30">
        <x:f>IF($A72="","",IF(G72&gt;=Config!$B$11,Config!$B$12,0))</x:f>
      </x:c>
      <x:c r="N72" s="30">
        <x:f>IF($A72="","",SUM(H72:M72))</x:f>
      </x:c>
      <x:c r="O72" s="30">
        <x:f>IF($A72="","",MAX(0,MIN(Config!$B$13,N72)))</x:f>
      </x:c>
      <x:c r="P72" s="12">
        <x:f>IF($A72="","",O72/Config!$B$13)</x:f>
      </x:c>
      <x:c r="Q72" s="13">
        <x:f>IF($A72="","",IF(O72&gt;=Config!$B$14,"A",IF(O72&gt;=Config!$B$15,"B","C")))</x:f>
      </x:c>
      <x:c r="R72" s="13">
        <x:f>IF($A72="","",IF(O72&gt;=Config!$B$14,"Low",IF(O72&gt;=Config!$B$15,"Medium","High")))</x:f>
      </x:c>
      <x:c r="S72" s="13">
        <x:f>IF($A72="","",IF(F72="No","Mapear decisor e agendar reunião",IF(E72&gt;Config!$B$9,"Realizar follow-up estruturado",IF(R72="High","Reavaliar estratégia do deal","Avançar para próxima etapa"))))</x:f>
      </x:c>
      <x:c r="T72" s="13">
        <x:f>IF($A72="","","Score " &amp; O72 &amp; "/100; rating " &amp; Q72 &amp; "; friction " &amp; R72 &amp; ".")</x:f>
      </x:c>
    </x:row>
    <x:row r="73" ht="34" customHeight="1">
      <x:c r="A73" s="9" t="n"/>
      <x:c r="B73" s="9" t="n"/>
      <x:c r="C73" s="29" t="n"/>
      <x:c r="D73" s="9" t="n"/>
      <x:c r="E73" s="9" t="n"/>
      <x:c r="F73" s="9" t="n"/>
      <x:c r="G73" s="9" t="n"/>
      <x:c r="H73" s="30">
        <x:f>IF($A73="","",Config!$B$4)</x:f>
      </x:c>
      <x:c r="I73" s="30">
        <x:f>IF($A73="","",IF(C73&gt;Config!$B$5,Config!$B$6,0))</x:f>
      </x:c>
      <x:c r="J73" s="30">
        <x:f>IF($A73="","",IF(F73="Yes",Config!$B$7,0))</x:f>
      </x:c>
      <x:c r="K73" s="30">
        <x:f>IF($A73="","",IF(OR(D73="proposal",D73="negotiation"),Config!$B$8,0))</x:f>
      </x:c>
      <x:c r="L73" s="30">
        <x:f>IF($A73="","",IF(E73&gt;Config!$B$9,Config!$B$10,0))</x:f>
      </x:c>
      <x:c r="M73" s="30">
        <x:f>IF($A73="","",IF(G73&gt;=Config!$B$11,Config!$B$12,0))</x:f>
      </x:c>
      <x:c r="N73" s="30">
        <x:f>IF($A73="","",SUM(H73:M73))</x:f>
      </x:c>
      <x:c r="O73" s="30">
        <x:f>IF($A73="","",MAX(0,MIN(Config!$B$13,N73)))</x:f>
      </x:c>
      <x:c r="P73" s="12">
        <x:f>IF($A73="","",O73/Config!$B$13)</x:f>
      </x:c>
      <x:c r="Q73" s="13">
        <x:f>IF($A73="","",IF(O73&gt;=Config!$B$14,"A",IF(O73&gt;=Config!$B$15,"B","C")))</x:f>
      </x:c>
      <x:c r="R73" s="13">
        <x:f>IF($A73="","",IF(O73&gt;=Config!$B$14,"Low",IF(O73&gt;=Config!$B$15,"Medium","High")))</x:f>
      </x:c>
      <x:c r="S73" s="13">
        <x:f>IF($A73="","",IF(F73="No","Mapear decisor e agendar reunião",IF(E73&gt;Config!$B$9,"Realizar follow-up estruturado",IF(R73="High","Reavaliar estratégia do deal","Avançar para próxima etapa"))))</x:f>
      </x:c>
      <x:c r="T73" s="13">
        <x:f>IF($A73="","","Score " &amp; O73 &amp; "/100; rating " &amp; Q73 &amp; "; friction " &amp; R73 &amp; ".")</x:f>
      </x:c>
    </x:row>
    <x:row r="74" ht="34" customHeight="1">
      <x:c r="A74" s="9" t="n"/>
      <x:c r="B74" s="9" t="n"/>
      <x:c r="C74" s="29" t="n"/>
      <x:c r="D74" s="9" t="n"/>
      <x:c r="E74" s="9" t="n"/>
      <x:c r="F74" s="9" t="n"/>
      <x:c r="G74" s="9" t="n"/>
      <x:c r="H74" s="30">
        <x:f>IF($A74="","",Config!$B$4)</x:f>
      </x:c>
      <x:c r="I74" s="30">
        <x:f>IF($A74="","",IF(C74&gt;Config!$B$5,Config!$B$6,0))</x:f>
      </x:c>
      <x:c r="J74" s="30">
        <x:f>IF($A74="","",IF(F74="Yes",Config!$B$7,0))</x:f>
      </x:c>
      <x:c r="K74" s="30">
        <x:f>IF($A74="","",IF(OR(D74="proposal",D74="negotiation"),Config!$B$8,0))</x:f>
      </x:c>
      <x:c r="L74" s="30">
        <x:f>IF($A74="","",IF(E74&gt;Config!$B$9,Config!$B$10,0))</x:f>
      </x:c>
      <x:c r="M74" s="30">
        <x:f>IF($A74="","",IF(G74&gt;=Config!$B$11,Config!$B$12,0))</x:f>
      </x:c>
      <x:c r="N74" s="30">
        <x:f>IF($A74="","",SUM(H74:M74))</x:f>
      </x:c>
      <x:c r="O74" s="30">
        <x:f>IF($A74="","",MAX(0,MIN(Config!$B$13,N74)))</x:f>
      </x:c>
      <x:c r="P74" s="12">
        <x:f>IF($A74="","",O74/Config!$B$13)</x:f>
      </x:c>
      <x:c r="Q74" s="13">
        <x:f>IF($A74="","",IF(O74&gt;=Config!$B$14,"A",IF(O74&gt;=Config!$B$15,"B","C")))</x:f>
      </x:c>
      <x:c r="R74" s="13">
        <x:f>IF($A74="","",IF(O74&gt;=Config!$B$14,"Low",IF(O74&gt;=Config!$B$15,"Medium","High")))</x:f>
      </x:c>
      <x:c r="S74" s="13">
        <x:f>IF($A74="","",IF(F74="No","Mapear decisor e agendar reunião",IF(E74&gt;Config!$B$9,"Realizar follow-up estruturado",IF(R74="High","Reavaliar estratégia do deal","Avançar para próxima etapa"))))</x:f>
      </x:c>
      <x:c r="T74" s="13">
        <x:f>IF($A74="","","Score " &amp; O74 &amp; "/100; rating " &amp; Q74 &amp; "; friction " &amp; R74 &amp; ".")</x:f>
      </x:c>
    </x:row>
    <x:row r="75" ht="34" customHeight="1">
      <x:c r="A75" s="9" t="n"/>
      <x:c r="B75" s="9" t="n"/>
      <x:c r="C75" s="29" t="n"/>
      <x:c r="D75" s="9" t="n"/>
      <x:c r="E75" s="9" t="n"/>
      <x:c r="F75" s="9" t="n"/>
      <x:c r="G75" s="9" t="n"/>
      <x:c r="H75" s="30">
        <x:f>IF($A75="","",Config!$B$4)</x:f>
      </x:c>
      <x:c r="I75" s="30">
        <x:f>IF($A75="","",IF(C75&gt;Config!$B$5,Config!$B$6,0))</x:f>
      </x:c>
      <x:c r="J75" s="30">
        <x:f>IF($A75="","",IF(F75="Yes",Config!$B$7,0))</x:f>
      </x:c>
      <x:c r="K75" s="30">
        <x:f>IF($A75="","",IF(OR(D75="proposal",D75="negotiation"),Config!$B$8,0))</x:f>
      </x:c>
      <x:c r="L75" s="30">
        <x:f>IF($A75="","",IF(E75&gt;Config!$B$9,Config!$B$10,0))</x:f>
      </x:c>
      <x:c r="M75" s="30">
        <x:f>IF($A75="","",IF(G75&gt;=Config!$B$11,Config!$B$12,0))</x:f>
      </x:c>
      <x:c r="N75" s="30">
        <x:f>IF($A75="","",SUM(H75:M75))</x:f>
      </x:c>
      <x:c r="O75" s="30">
        <x:f>IF($A75="","",MAX(0,MIN(Config!$B$13,N75)))</x:f>
      </x:c>
      <x:c r="P75" s="12">
        <x:f>IF($A75="","",O75/Config!$B$13)</x:f>
      </x:c>
      <x:c r="Q75" s="13">
        <x:f>IF($A75="","",IF(O75&gt;=Config!$B$14,"A",IF(O75&gt;=Config!$B$15,"B","C")))</x:f>
      </x:c>
      <x:c r="R75" s="13">
        <x:f>IF($A75="","",IF(O75&gt;=Config!$B$14,"Low",IF(O75&gt;=Config!$B$15,"Medium","High")))</x:f>
      </x:c>
      <x:c r="S75" s="13">
        <x:f>IF($A75="","",IF(F75="No","Mapear decisor e agendar reunião",IF(E75&gt;Config!$B$9,"Realizar follow-up estruturado",IF(R75="High","Reavaliar estratégia do deal","Avançar para próxima etapa"))))</x:f>
      </x:c>
      <x:c r="T75" s="13">
        <x:f>IF($A75="","","Score " &amp; O75 &amp; "/100; rating " &amp; Q75 &amp; "; friction " &amp; R75 &amp; ".")</x:f>
      </x:c>
    </x:row>
    <x:row r="76" ht="34" customHeight="1">
      <x:c r="A76" s="9" t="n"/>
      <x:c r="B76" s="9" t="n"/>
      <x:c r="C76" s="29" t="n"/>
      <x:c r="D76" s="9" t="n"/>
      <x:c r="E76" s="9" t="n"/>
      <x:c r="F76" s="9" t="n"/>
      <x:c r="G76" s="9" t="n"/>
      <x:c r="H76" s="30">
        <x:f>IF($A76="","",Config!$B$4)</x:f>
      </x:c>
      <x:c r="I76" s="30">
        <x:f>IF($A76="","",IF(C76&gt;Config!$B$5,Config!$B$6,0))</x:f>
      </x:c>
      <x:c r="J76" s="30">
        <x:f>IF($A76="","",IF(F76="Yes",Config!$B$7,0))</x:f>
      </x:c>
      <x:c r="K76" s="30">
        <x:f>IF($A76="","",IF(OR(D76="proposal",D76="negotiation"),Config!$B$8,0))</x:f>
      </x:c>
      <x:c r="L76" s="30">
        <x:f>IF($A76="","",IF(E76&gt;Config!$B$9,Config!$B$10,0))</x:f>
      </x:c>
      <x:c r="M76" s="30">
        <x:f>IF($A76="","",IF(G76&gt;=Config!$B$11,Config!$B$12,0))</x:f>
      </x:c>
      <x:c r="N76" s="30">
        <x:f>IF($A76="","",SUM(H76:M76))</x:f>
      </x:c>
      <x:c r="O76" s="30">
        <x:f>IF($A76="","",MAX(0,MIN(Config!$B$13,N76)))</x:f>
      </x:c>
      <x:c r="P76" s="12">
        <x:f>IF($A76="","",O76/Config!$B$13)</x:f>
      </x:c>
      <x:c r="Q76" s="13">
        <x:f>IF($A76="","",IF(O76&gt;=Config!$B$14,"A",IF(O76&gt;=Config!$B$15,"B","C")))</x:f>
      </x:c>
      <x:c r="R76" s="13">
        <x:f>IF($A76="","",IF(O76&gt;=Config!$B$14,"Low",IF(O76&gt;=Config!$B$15,"Medium","High")))</x:f>
      </x:c>
      <x:c r="S76" s="13">
        <x:f>IF($A76="","",IF(F76="No","Mapear decisor e agendar reunião",IF(E76&gt;Config!$B$9,"Realizar follow-up estruturado",IF(R76="High","Reavaliar estratégia do deal","Avançar para próxima etapa"))))</x:f>
      </x:c>
      <x:c r="T76" s="13">
        <x:f>IF($A76="","","Score " &amp; O76 &amp; "/100; rating " &amp; Q76 &amp; "; friction " &amp; R76 &amp; ".")</x:f>
      </x:c>
    </x:row>
    <x:row r="77" ht="34" customHeight="1">
      <x:c r="A77" s="9" t="n"/>
      <x:c r="B77" s="9" t="n"/>
      <x:c r="C77" s="29" t="n"/>
      <x:c r="D77" s="9" t="n"/>
      <x:c r="E77" s="9" t="n"/>
      <x:c r="F77" s="9" t="n"/>
      <x:c r="G77" s="9" t="n"/>
      <x:c r="H77" s="30">
        <x:f>IF($A77="","",Config!$B$4)</x:f>
      </x:c>
      <x:c r="I77" s="30">
        <x:f>IF($A77="","",IF(C77&gt;Config!$B$5,Config!$B$6,0))</x:f>
      </x:c>
      <x:c r="J77" s="30">
        <x:f>IF($A77="","",IF(F77="Yes",Config!$B$7,0))</x:f>
      </x:c>
      <x:c r="K77" s="30">
        <x:f>IF($A77="","",IF(OR(D77="proposal",D77="negotiation"),Config!$B$8,0))</x:f>
      </x:c>
      <x:c r="L77" s="30">
        <x:f>IF($A77="","",IF(E77&gt;Config!$B$9,Config!$B$10,0))</x:f>
      </x:c>
      <x:c r="M77" s="30">
        <x:f>IF($A77="","",IF(G77&gt;=Config!$B$11,Config!$B$12,0))</x:f>
      </x:c>
      <x:c r="N77" s="30">
        <x:f>IF($A77="","",SUM(H77:M77))</x:f>
      </x:c>
      <x:c r="O77" s="30">
        <x:f>IF($A77="","",MAX(0,MIN(Config!$B$13,N77)))</x:f>
      </x:c>
      <x:c r="P77" s="12">
        <x:f>IF($A77="","",O77/Config!$B$13)</x:f>
      </x:c>
      <x:c r="Q77" s="13">
        <x:f>IF($A77="","",IF(O77&gt;=Config!$B$14,"A",IF(O77&gt;=Config!$B$15,"B","C")))</x:f>
      </x:c>
      <x:c r="R77" s="13">
        <x:f>IF($A77="","",IF(O77&gt;=Config!$B$14,"Low",IF(O77&gt;=Config!$B$15,"Medium","High")))</x:f>
      </x:c>
      <x:c r="S77" s="13">
        <x:f>IF($A77="","",IF(F77="No","Mapear decisor e agendar reunião",IF(E77&gt;Config!$B$9,"Realizar follow-up estruturado",IF(R77="High","Reavaliar estratégia do deal","Avançar para próxima etapa"))))</x:f>
      </x:c>
      <x:c r="T77" s="13">
        <x:f>IF($A77="","","Score " &amp; O77 &amp; "/100; rating " &amp; Q77 &amp; "; friction " &amp; R77 &amp; ".")</x:f>
      </x:c>
    </x:row>
    <x:row r="78" ht="34" customHeight="1">
      <x:c r="A78" s="9" t="n"/>
      <x:c r="B78" s="9" t="n"/>
      <x:c r="C78" s="29" t="n"/>
      <x:c r="D78" s="9" t="n"/>
      <x:c r="E78" s="9" t="n"/>
      <x:c r="F78" s="9" t="n"/>
      <x:c r="G78" s="9" t="n"/>
      <x:c r="H78" s="30">
        <x:f>IF($A78="","",Config!$B$4)</x:f>
      </x:c>
      <x:c r="I78" s="30">
        <x:f>IF($A78="","",IF(C78&gt;Config!$B$5,Config!$B$6,0))</x:f>
      </x:c>
      <x:c r="J78" s="30">
        <x:f>IF($A78="","",IF(F78="Yes",Config!$B$7,0))</x:f>
      </x:c>
      <x:c r="K78" s="30">
        <x:f>IF($A78="","",IF(OR(D78="proposal",D78="negotiation"),Config!$B$8,0))</x:f>
      </x:c>
      <x:c r="L78" s="30">
        <x:f>IF($A78="","",IF(E78&gt;Config!$B$9,Config!$B$10,0))</x:f>
      </x:c>
      <x:c r="M78" s="30">
        <x:f>IF($A78="","",IF(G78&gt;=Config!$B$11,Config!$B$12,0))</x:f>
      </x:c>
      <x:c r="N78" s="30">
        <x:f>IF($A78="","",SUM(H78:M78))</x:f>
      </x:c>
      <x:c r="O78" s="30">
        <x:f>IF($A78="","",MAX(0,MIN(Config!$B$13,N78)))</x:f>
      </x:c>
      <x:c r="P78" s="12">
        <x:f>IF($A78="","",O78/Config!$B$13)</x:f>
      </x:c>
      <x:c r="Q78" s="13">
        <x:f>IF($A78="","",IF(O78&gt;=Config!$B$14,"A",IF(O78&gt;=Config!$B$15,"B","C")))</x:f>
      </x:c>
      <x:c r="R78" s="13">
        <x:f>IF($A78="","",IF(O78&gt;=Config!$B$14,"Low",IF(O78&gt;=Config!$B$15,"Medium","High")))</x:f>
      </x:c>
      <x:c r="S78" s="13">
        <x:f>IF($A78="","",IF(F78="No","Mapear decisor e agendar reunião",IF(E78&gt;Config!$B$9,"Realizar follow-up estruturado",IF(R78="High","Reavaliar estratégia do deal","Avançar para próxima etapa"))))</x:f>
      </x:c>
      <x:c r="T78" s="13">
        <x:f>IF($A78="","","Score " &amp; O78 &amp; "/100; rating " &amp; Q78 &amp; "; friction " &amp; R78 &amp; ".")</x:f>
      </x:c>
    </x:row>
    <x:row r="79" ht="34" customHeight="1">
      <x:c r="A79" s="9" t="n"/>
      <x:c r="B79" s="9" t="n"/>
      <x:c r="C79" s="29" t="n"/>
      <x:c r="D79" s="9" t="n"/>
      <x:c r="E79" s="9" t="n"/>
      <x:c r="F79" s="9" t="n"/>
      <x:c r="G79" s="9" t="n"/>
      <x:c r="H79" s="30">
        <x:f>IF($A79="","",Config!$B$4)</x:f>
      </x:c>
      <x:c r="I79" s="30">
        <x:f>IF($A79="","",IF(C79&gt;Config!$B$5,Config!$B$6,0))</x:f>
      </x:c>
      <x:c r="J79" s="30">
        <x:f>IF($A79="","",IF(F79="Yes",Config!$B$7,0))</x:f>
      </x:c>
      <x:c r="K79" s="30">
        <x:f>IF($A79="","",IF(OR(D79="proposal",D79="negotiation"),Config!$B$8,0))</x:f>
      </x:c>
      <x:c r="L79" s="30">
        <x:f>IF($A79="","",IF(E79&gt;Config!$B$9,Config!$B$10,0))</x:f>
      </x:c>
      <x:c r="M79" s="30">
        <x:f>IF($A79="","",IF(G79&gt;=Config!$B$11,Config!$B$12,0))</x:f>
      </x:c>
      <x:c r="N79" s="30">
        <x:f>IF($A79="","",SUM(H79:M79))</x:f>
      </x:c>
      <x:c r="O79" s="30">
        <x:f>IF($A79="","",MAX(0,MIN(Config!$B$13,N79)))</x:f>
      </x:c>
      <x:c r="P79" s="12">
        <x:f>IF($A79="","",O79/Config!$B$13)</x:f>
      </x:c>
      <x:c r="Q79" s="13">
        <x:f>IF($A79="","",IF(O79&gt;=Config!$B$14,"A",IF(O79&gt;=Config!$B$15,"B","C")))</x:f>
      </x:c>
      <x:c r="R79" s="13">
        <x:f>IF($A79="","",IF(O79&gt;=Config!$B$14,"Low",IF(O79&gt;=Config!$B$15,"Medium","High")))</x:f>
      </x:c>
      <x:c r="S79" s="13">
        <x:f>IF($A79="","",IF(F79="No","Mapear decisor e agendar reunião",IF(E79&gt;Config!$B$9,"Realizar follow-up estruturado",IF(R79="High","Reavaliar estratégia do deal","Avançar para próxima etapa"))))</x:f>
      </x:c>
      <x:c r="T79" s="13">
        <x:f>IF($A79="","","Score " &amp; O79 &amp; "/100; rating " &amp; Q79 &amp; "; friction " &amp; R79 &amp; ".")</x:f>
      </x:c>
    </x:row>
    <x:row r="80" ht="34" customHeight="1">
      <x:c r="A80" s="9" t="n"/>
      <x:c r="B80" s="9" t="n"/>
      <x:c r="C80" s="29" t="n"/>
      <x:c r="D80" s="9" t="n"/>
      <x:c r="E80" s="9" t="n"/>
      <x:c r="F80" s="9" t="n"/>
      <x:c r="G80" s="9" t="n"/>
      <x:c r="H80" s="30">
        <x:f>IF($A80="","",Config!$B$4)</x:f>
      </x:c>
      <x:c r="I80" s="30">
        <x:f>IF($A80="","",IF(C80&gt;Config!$B$5,Config!$B$6,0))</x:f>
      </x:c>
      <x:c r="J80" s="30">
        <x:f>IF($A80="","",IF(F80="Yes",Config!$B$7,0))</x:f>
      </x:c>
      <x:c r="K80" s="30">
        <x:f>IF($A80="","",IF(OR(D80="proposal",D80="negotiation"),Config!$B$8,0))</x:f>
      </x:c>
      <x:c r="L80" s="30">
        <x:f>IF($A80="","",IF(E80&gt;Config!$B$9,Config!$B$10,0))</x:f>
      </x:c>
      <x:c r="M80" s="30">
        <x:f>IF($A80="","",IF(G80&gt;=Config!$B$11,Config!$B$12,0))</x:f>
      </x:c>
      <x:c r="N80" s="30">
        <x:f>IF($A80="","",SUM(H80:M80))</x:f>
      </x:c>
      <x:c r="O80" s="30">
        <x:f>IF($A80="","",MAX(0,MIN(Config!$B$13,N80)))</x:f>
      </x:c>
      <x:c r="P80" s="12">
        <x:f>IF($A80="","",O80/Config!$B$13)</x:f>
      </x:c>
      <x:c r="Q80" s="13">
        <x:f>IF($A80="","",IF(O80&gt;=Config!$B$14,"A",IF(O80&gt;=Config!$B$15,"B","C")))</x:f>
      </x:c>
      <x:c r="R80" s="13">
        <x:f>IF($A80="","",IF(O80&gt;=Config!$B$14,"Low",IF(O80&gt;=Config!$B$15,"Medium","High")))</x:f>
      </x:c>
      <x:c r="S80" s="13">
        <x:f>IF($A80="","",IF(F80="No","Mapear decisor e agendar reunião",IF(E80&gt;Config!$B$9,"Realizar follow-up estruturado",IF(R80="High","Reavaliar estratégia do deal","Avançar para próxima etapa"))))</x:f>
      </x:c>
      <x:c r="T80" s="13">
        <x:f>IF($A80="","","Score " &amp; O80 &amp; "/100; rating " &amp; Q80 &amp; "; friction " &amp; R80 &amp; ".")</x:f>
      </x:c>
    </x:row>
    <x:row r="81" ht="34" customHeight="1">
      <x:c r="A81" s="9" t="n"/>
      <x:c r="B81" s="9" t="n"/>
      <x:c r="C81" s="29" t="n"/>
      <x:c r="D81" s="9" t="n"/>
      <x:c r="E81" s="9" t="n"/>
      <x:c r="F81" s="9" t="n"/>
      <x:c r="G81" s="9" t="n"/>
      <x:c r="H81" s="30">
        <x:f>IF($A81="","",Config!$B$4)</x:f>
      </x:c>
      <x:c r="I81" s="30">
        <x:f>IF($A81="","",IF(C81&gt;Config!$B$5,Config!$B$6,0))</x:f>
      </x:c>
      <x:c r="J81" s="30">
        <x:f>IF($A81="","",IF(F81="Yes",Config!$B$7,0))</x:f>
      </x:c>
      <x:c r="K81" s="30">
        <x:f>IF($A81="","",IF(OR(D81="proposal",D81="negotiation"),Config!$B$8,0))</x:f>
      </x:c>
      <x:c r="L81" s="30">
        <x:f>IF($A81="","",IF(E81&gt;Config!$B$9,Config!$B$10,0))</x:f>
      </x:c>
      <x:c r="M81" s="30">
        <x:f>IF($A81="","",IF(G81&gt;=Config!$B$11,Config!$B$12,0))</x:f>
      </x:c>
      <x:c r="N81" s="30">
        <x:f>IF($A81="","",SUM(H81:M81))</x:f>
      </x:c>
      <x:c r="O81" s="30">
        <x:f>IF($A81="","",MAX(0,MIN(Config!$B$13,N81)))</x:f>
      </x:c>
      <x:c r="P81" s="12">
        <x:f>IF($A81="","",O81/Config!$B$13)</x:f>
      </x:c>
      <x:c r="Q81" s="13">
        <x:f>IF($A81="","",IF(O81&gt;=Config!$B$14,"A",IF(O81&gt;=Config!$B$15,"B","C")))</x:f>
      </x:c>
      <x:c r="R81" s="13">
        <x:f>IF($A81="","",IF(O81&gt;=Config!$B$14,"Low",IF(O81&gt;=Config!$B$15,"Medium","High")))</x:f>
      </x:c>
      <x:c r="S81" s="13">
        <x:f>IF($A81="","",IF(F81="No","Mapear decisor e agendar reunião",IF(E81&gt;Config!$B$9,"Realizar follow-up estruturado",IF(R81="High","Reavaliar estratégia do deal","Avançar para próxima etapa"))))</x:f>
      </x:c>
      <x:c r="T81" s="13">
        <x:f>IF($A81="","","Score " &amp; O81 &amp; "/100; rating " &amp; Q81 &amp; "; friction " &amp; R81 &amp; ".")</x:f>
      </x:c>
    </x:row>
    <x:row r="82" ht="34" customHeight="1">
      <x:c r="A82" s="9" t="n"/>
      <x:c r="B82" s="9" t="n"/>
      <x:c r="C82" s="29" t="n"/>
      <x:c r="D82" s="9" t="n"/>
      <x:c r="E82" s="9" t="n"/>
      <x:c r="F82" s="9" t="n"/>
      <x:c r="G82" s="9" t="n"/>
      <x:c r="H82" s="30">
        <x:f>IF($A82="","",Config!$B$4)</x:f>
      </x:c>
      <x:c r="I82" s="30">
        <x:f>IF($A82="","",IF(C82&gt;Config!$B$5,Config!$B$6,0))</x:f>
      </x:c>
      <x:c r="J82" s="30">
        <x:f>IF($A82="","",IF(F82="Yes",Config!$B$7,0))</x:f>
      </x:c>
      <x:c r="K82" s="30">
        <x:f>IF($A82="","",IF(OR(D82="proposal",D82="negotiation"),Config!$B$8,0))</x:f>
      </x:c>
      <x:c r="L82" s="30">
        <x:f>IF($A82="","",IF(E82&gt;Config!$B$9,Config!$B$10,0))</x:f>
      </x:c>
      <x:c r="M82" s="30">
        <x:f>IF($A82="","",IF(G82&gt;=Config!$B$11,Config!$B$12,0))</x:f>
      </x:c>
      <x:c r="N82" s="30">
        <x:f>IF($A82="","",SUM(H82:M82))</x:f>
      </x:c>
      <x:c r="O82" s="30">
        <x:f>IF($A82="","",MAX(0,MIN(Config!$B$13,N82)))</x:f>
      </x:c>
      <x:c r="P82" s="12">
        <x:f>IF($A82="","",O82/Config!$B$13)</x:f>
      </x:c>
      <x:c r="Q82" s="13">
        <x:f>IF($A82="","",IF(O82&gt;=Config!$B$14,"A",IF(O82&gt;=Config!$B$15,"B","C")))</x:f>
      </x:c>
      <x:c r="R82" s="13">
        <x:f>IF($A82="","",IF(O82&gt;=Config!$B$14,"Low",IF(O82&gt;=Config!$B$15,"Medium","High")))</x:f>
      </x:c>
      <x:c r="S82" s="13">
        <x:f>IF($A82="","",IF(F82="No","Mapear decisor e agendar reunião",IF(E82&gt;Config!$B$9,"Realizar follow-up estruturado",IF(R82="High","Reavaliar estratégia do deal","Avançar para próxima etapa"))))</x:f>
      </x:c>
      <x:c r="T82" s="13">
        <x:f>IF($A82="","","Score " &amp; O82 &amp; "/100; rating " &amp; Q82 &amp; "; friction " &amp; R82 &amp; ".")</x:f>
      </x:c>
    </x:row>
    <x:row r="83" ht="34" customHeight="1">
      <x:c r="A83" s="9" t="n"/>
      <x:c r="B83" s="9" t="n"/>
      <x:c r="C83" s="29" t="n"/>
      <x:c r="D83" s="9" t="n"/>
      <x:c r="E83" s="9" t="n"/>
      <x:c r="F83" s="9" t="n"/>
      <x:c r="G83" s="9" t="n"/>
      <x:c r="H83" s="30">
        <x:f>IF($A83="","",Config!$B$4)</x:f>
      </x:c>
      <x:c r="I83" s="30">
        <x:f>IF($A83="","",IF(C83&gt;Config!$B$5,Config!$B$6,0))</x:f>
      </x:c>
      <x:c r="J83" s="30">
        <x:f>IF($A83="","",IF(F83="Yes",Config!$B$7,0))</x:f>
      </x:c>
      <x:c r="K83" s="30">
        <x:f>IF($A83="","",IF(OR(D83="proposal",D83="negotiation"),Config!$B$8,0))</x:f>
      </x:c>
      <x:c r="L83" s="30">
        <x:f>IF($A83="","",IF(E83&gt;Config!$B$9,Config!$B$10,0))</x:f>
      </x:c>
      <x:c r="M83" s="30">
        <x:f>IF($A83="","",IF(G83&gt;=Config!$B$11,Config!$B$12,0))</x:f>
      </x:c>
      <x:c r="N83" s="30">
        <x:f>IF($A83="","",SUM(H83:M83))</x:f>
      </x:c>
      <x:c r="O83" s="30">
        <x:f>IF($A83="","",MAX(0,MIN(Config!$B$13,N83)))</x:f>
      </x:c>
      <x:c r="P83" s="12">
        <x:f>IF($A83="","",O83/Config!$B$13)</x:f>
      </x:c>
      <x:c r="Q83" s="13">
        <x:f>IF($A83="","",IF(O83&gt;=Config!$B$14,"A",IF(O83&gt;=Config!$B$15,"B","C")))</x:f>
      </x:c>
      <x:c r="R83" s="13">
        <x:f>IF($A83="","",IF(O83&gt;=Config!$B$14,"Low",IF(O83&gt;=Config!$B$15,"Medium","High")))</x:f>
      </x:c>
      <x:c r="S83" s="13">
        <x:f>IF($A83="","",IF(F83="No","Mapear decisor e agendar reunião",IF(E83&gt;Config!$B$9,"Realizar follow-up estruturado",IF(R83="High","Reavaliar estratégia do deal","Avançar para próxima etapa"))))</x:f>
      </x:c>
      <x:c r="T83" s="13">
        <x:f>IF($A83="","","Score " &amp; O83 &amp; "/100; rating " &amp; Q83 &amp; "; friction " &amp; R83 &amp; ".")</x:f>
      </x:c>
    </x:row>
    <x:row r="84" ht="34" customHeight="1">
      <x:c r="A84" s="9" t="n"/>
      <x:c r="B84" s="9" t="n"/>
      <x:c r="C84" s="29" t="n"/>
      <x:c r="D84" s="9" t="n"/>
      <x:c r="E84" s="9" t="n"/>
      <x:c r="F84" s="9" t="n"/>
      <x:c r="G84" s="9" t="n"/>
      <x:c r="H84" s="30">
        <x:f>IF($A84="","",Config!$B$4)</x:f>
      </x:c>
      <x:c r="I84" s="30">
        <x:f>IF($A84="","",IF(C84&gt;Config!$B$5,Config!$B$6,0))</x:f>
      </x:c>
      <x:c r="J84" s="30">
        <x:f>IF($A84="","",IF(F84="Yes",Config!$B$7,0))</x:f>
      </x:c>
      <x:c r="K84" s="30">
        <x:f>IF($A84="","",IF(OR(D84="proposal",D84="negotiation"),Config!$B$8,0))</x:f>
      </x:c>
      <x:c r="L84" s="30">
        <x:f>IF($A84="","",IF(E84&gt;Config!$B$9,Config!$B$10,0))</x:f>
      </x:c>
      <x:c r="M84" s="30">
        <x:f>IF($A84="","",IF(G84&gt;=Config!$B$11,Config!$B$12,0))</x:f>
      </x:c>
      <x:c r="N84" s="30">
        <x:f>IF($A84="","",SUM(H84:M84))</x:f>
      </x:c>
      <x:c r="O84" s="30">
        <x:f>IF($A84="","",MAX(0,MIN(Config!$B$13,N84)))</x:f>
      </x:c>
      <x:c r="P84" s="12">
        <x:f>IF($A84="","",O84/Config!$B$13)</x:f>
      </x:c>
      <x:c r="Q84" s="13">
        <x:f>IF($A84="","",IF(O84&gt;=Config!$B$14,"A",IF(O84&gt;=Config!$B$15,"B","C")))</x:f>
      </x:c>
      <x:c r="R84" s="13">
        <x:f>IF($A84="","",IF(O84&gt;=Config!$B$14,"Low",IF(O84&gt;=Config!$B$15,"Medium","High")))</x:f>
      </x:c>
      <x:c r="S84" s="13">
        <x:f>IF($A84="","",IF(F84="No","Mapear decisor e agendar reunião",IF(E84&gt;Config!$B$9,"Realizar follow-up estruturado",IF(R84="High","Reavaliar estratégia do deal","Avançar para próxima etapa"))))</x:f>
      </x:c>
      <x:c r="T84" s="13">
        <x:f>IF($A84="","","Score " &amp; O84 &amp; "/100; rating " &amp; Q84 &amp; "; friction " &amp; R84 &amp; ".")</x:f>
      </x:c>
    </x:row>
    <x:row r="85" ht="34" customHeight="1">
      <x:c r="A85" s="9" t="n"/>
      <x:c r="B85" s="9" t="n"/>
      <x:c r="C85" s="29" t="n"/>
      <x:c r="D85" s="9" t="n"/>
      <x:c r="E85" s="9" t="n"/>
      <x:c r="F85" s="9" t="n"/>
      <x:c r="G85" s="9" t="n"/>
      <x:c r="H85" s="30">
        <x:f>IF($A85="","",Config!$B$4)</x:f>
      </x:c>
      <x:c r="I85" s="30">
        <x:f>IF($A85="","",IF(C85&gt;Config!$B$5,Config!$B$6,0))</x:f>
      </x:c>
      <x:c r="J85" s="30">
        <x:f>IF($A85="","",IF(F85="Yes",Config!$B$7,0))</x:f>
      </x:c>
      <x:c r="K85" s="30">
        <x:f>IF($A85="","",IF(OR(D85="proposal",D85="negotiation"),Config!$B$8,0))</x:f>
      </x:c>
      <x:c r="L85" s="30">
        <x:f>IF($A85="","",IF(E85&gt;Config!$B$9,Config!$B$10,0))</x:f>
      </x:c>
      <x:c r="M85" s="30">
        <x:f>IF($A85="","",IF(G85&gt;=Config!$B$11,Config!$B$12,0))</x:f>
      </x:c>
      <x:c r="N85" s="30">
        <x:f>IF($A85="","",SUM(H85:M85))</x:f>
      </x:c>
      <x:c r="O85" s="30">
        <x:f>IF($A85="","",MAX(0,MIN(Config!$B$13,N85)))</x:f>
      </x:c>
      <x:c r="P85" s="12">
        <x:f>IF($A85="","",O85/Config!$B$13)</x:f>
      </x:c>
      <x:c r="Q85" s="13">
        <x:f>IF($A85="","",IF(O85&gt;=Config!$B$14,"A",IF(O85&gt;=Config!$B$15,"B","C")))</x:f>
      </x:c>
      <x:c r="R85" s="13">
        <x:f>IF($A85="","",IF(O85&gt;=Config!$B$14,"Low",IF(O85&gt;=Config!$B$15,"Medium","High")))</x:f>
      </x:c>
      <x:c r="S85" s="13">
        <x:f>IF($A85="","",IF(F85="No","Mapear decisor e agendar reunião",IF(E85&gt;Config!$B$9,"Realizar follow-up estruturado",IF(R85="High","Reavaliar estratégia do deal","Avançar para próxima etapa"))))</x:f>
      </x:c>
      <x:c r="T85" s="13">
        <x:f>IF($A85="","","Score " &amp; O85 &amp; "/100; rating " &amp; Q85 &amp; "; friction " &amp; R85 &amp; ".")</x:f>
      </x:c>
    </x:row>
    <x:row r="86" ht="34" customHeight="1">
      <x:c r="A86" s="9" t="n"/>
      <x:c r="B86" s="9" t="n"/>
      <x:c r="C86" s="29" t="n"/>
      <x:c r="D86" s="9" t="n"/>
      <x:c r="E86" s="9" t="n"/>
      <x:c r="F86" s="9" t="n"/>
      <x:c r="G86" s="9" t="n"/>
      <x:c r="H86" s="30">
        <x:f>IF($A86="","",Config!$B$4)</x:f>
      </x:c>
      <x:c r="I86" s="30">
        <x:f>IF($A86="","",IF(C86&gt;Config!$B$5,Config!$B$6,0))</x:f>
      </x:c>
      <x:c r="J86" s="30">
        <x:f>IF($A86="","",IF(F86="Yes",Config!$B$7,0))</x:f>
      </x:c>
      <x:c r="K86" s="30">
        <x:f>IF($A86="","",IF(OR(D86="proposal",D86="negotiation"),Config!$B$8,0))</x:f>
      </x:c>
      <x:c r="L86" s="30">
        <x:f>IF($A86="","",IF(E86&gt;Config!$B$9,Config!$B$10,0))</x:f>
      </x:c>
      <x:c r="M86" s="30">
        <x:f>IF($A86="","",IF(G86&gt;=Config!$B$11,Config!$B$12,0))</x:f>
      </x:c>
      <x:c r="N86" s="30">
        <x:f>IF($A86="","",SUM(H86:M86))</x:f>
      </x:c>
      <x:c r="O86" s="30">
        <x:f>IF($A86="","",MAX(0,MIN(Config!$B$13,N86)))</x:f>
      </x:c>
      <x:c r="P86" s="12">
        <x:f>IF($A86="","",O86/Config!$B$13)</x:f>
      </x:c>
      <x:c r="Q86" s="13">
        <x:f>IF($A86="","",IF(O86&gt;=Config!$B$14,"A",IF(O86&gt;=Config!$B$15,"B","C")))</x:f>
      </x:c>
      <x:c r="R86" s="13">
        <x:f>IF($A86="","",IF(O86&gt;=Config!$B$14,"Low",IF(O86&gt;=Config!$B$15,"Medium","High")))</x:f>
      </x:c>
      <x:c r="S86" s="13">
        <x:f>IF($A86="","",IF(F86="No","Mapear decisor e agendar reunião",IF(E86&gt;Config!$B$9,"Realizar follow-up estruturado",IF(R86="High","Reavaliar estratégia do deal","Avançar para próxima etapa"))))</x:f>
      </x:c>
      <x:c r="T86" s="13">
        <x:f>IF($A86="","","Score " &amp; O86 &amp; "/100; rating " &amp; Q86 &amp; "; friction " &amp; R86 &amp; ".")</x:f>
      </x:c>
    </x:row>
    <x:row r="87" ht="34" customHeight="1">
      <x:c r="A87" s="9" t="n"/>
      <x:c r="B87" s="9" t="n"/>
      <x:c r="C87" s="29" t="n"/>
      <x:c r="D87" s="9" t="n"/>
      <x:c r="E87" s="9" t="n"/>
      <x:c r="F87" s="9" t="n"/>
      <x:c r="G87" s="9" t="n"/>
      <x:c r="H87" s="30">
        <x:f>IF($A87="","",Config!$B$4)</x:f>
      </x:c>
      <x:c r="I87" s="30">
        <x:f>IF($A87="","",IF(C87&gt;Config!$B$5,Config!$B$6,0))</x:f>
      </x:c>
      <x:c r="J87" s="30">
        <x:f>IF($A87="","",IF(F87="Yes",Config!$B$7,0))</x:f>
      </x:c>
      <x:c r="K87" s="30">
        <x:f>IF($A87="","",IF(OR(D87="proposal",D87="negotiation"),Config!$B$8,0))</x:f>
      </x:c>
      <x:c r="L87" s="30">
        <x:f>IF($A87="","",IF(E87&gt;Config!$B$9,Config!$B$10,0))</x:f>
      </x:c>
      <x:c r="M87" s="30">
        <x:f>IF($A87="","",IF(G87&gt;=Config!$B$11,Config!$B$12,0))</x:f>
      </x:c>
      <x:c r="N87" s="30">
        <x:f>IF($A87="","",SUM(H87:M87))</x:f>
      </x:c>
      <x:c r="O87" s="30">
        <x:f>IF($A87="","",MAX(0,MIN(Config!$B$13,N87)))</x:f>
      </x:c>
      <x:c r="P87" s="12">
        <x:f>IF($A87="","",O87/Config!$B$13)</x:f>
      </x:c>
      <x:c r="Q87" s="13">
        <x:f>IF($A87="","",IF(O87&gt;=Config!$B$14,"A",IF(O87&gt;=Config!$B$15,"B","C")))</x:f>
      </x:c>
      <x:c r="R87" s="13">
        <x:f>IF($A87="","",IF(O87&gt;=Config!$B$14,"Low",IF(O87&gt;=Config!$B$15,"Medium","High")))</x:f>
      </x:c>
      <x:c r="S87" s="13">
        <x:f>IF($A87="","",IF(F87="No","Mapear decisor e agendar reunião",IF(E87&gt;Config!$B$9,"Realizar follow-up estruturado",IF(R87="High","Reavaliar estratégia do deal","Avançar para próxima etapa"))))</x:f>
      </x:c>
      <x:c r="T87" s="13">
        <x:f>IF($A87="","","Score " &amp; O87 &amp; "/100; rating " &amp; Q87 &amp; "; friction " &amp; R87 &amp; ".")</x:f>
      </x:c>
    </x:row>
    <x:row r="88" ht="34" customHeight="1">
      <x:c r="A88" s="9" t="n"/>
      <x:c r="B88" s="9" t="n"/>
      <x:c r="C88" s="29" t="n"/>
      <x:c r="D88" s="9" t="n"/>
      <x:c r="E88" s="9" t="n"/>
      <x:c r="F88" s="9" t="n"/>
      <x:c r="G88" s="9" t="n"/>
      <x:c r="H88" s="30">
        <x:f>IF($A88="","",Config!$B$4)</x:f>
      </x:c>
      <x:c r="I88" s="30">
        <x:f>IF($A88="","",IF(C88&gt;Config!$B$5,Config!$B$6,0))</x:f>
      </x:c>
      <x:c r="J88" s="30">
        <x:f>IF($A88="","",IF(F88="Yes",Config!$B$7,0))</x:f>
      </x:c>
      <x:c r="K88" s="30">
        <x:f>IF($A88="","",IF(OR(D88="proposal",D88="negotiation"),Config!$B$8,0))</x:f>
      </x:c>
      <x:c r="L88" s="30">
        <x:f>IF($A88="","",IF(E88&gt;Config!$B$9,Config!$B$10,0))</x:f>
      </x:c>
      <x:c r="M88" s="30">
        <x:f>IF($A88="","",IF(G88&gt;=Config!$B$11,Config!$B$12,0))</x:f>
      </x:c>
      <x:c r="N88" s="30">
        <x:f>IF($A88="","",SUM(H88:M88))</x:f>
      </x:c>
      <x:c r="O88" s="30">
        <x:f>IF($A88="","",MAX(0,MIN(Config!$B$13,N88)))</x:f>
      </x:c>
      <x:c r="P88" s="12">
        <x:f>IF($A88="","",O88/Config!$B$13)</x:f>
      </x:c>
      <x:c r="Q88" s="13">
        <x:f>IF($A88="","",IF(O88&gt;=Config!$B$14,"A",IF(O88&gt;=Config!$B$15,"B","C")))</x:f>
      </x:c>
      <x:c r="R88" s="13">
        <x:f>IF($A88="","",IF(O88&gt;=Config!$B$14,"Low",IF(O88&gt;=Config!$B$15,"Medium","High")))</x:f>
      </x:c>
      <x:c r="S88" s="13">
        <x:f>IF($A88="","",IF(F88="No","Mapear decisor e agendar reunião",IF(E88&gt;Config!$B$9,"Realizar follow-up estruturado",IF(R88="High","Reavaliar estratégia do deal","Avançar para próxima etapa"))))</x:f>
      </x:c>
      <x:c r="T88" s="13">
        <x:f>IF($A88="","","Score " &amp; O88 &amp; "/100; rating " &amp; Q88 &amp; "; friction " &amp; R88 &amp; ".")</x:f>
      </x:c>
    </x:row>
    <x:row r="89" ht="34" customHeight="1">
      <x:c r="A89" s="9" t="n"/>
      <x:c r="B89" s="9" t="n"/>
      <x:c r="C89" s="29" t="n"/>
      <x:c r="D89" s="9" t="n"/>
      <x:c r="E89" s="9" t="n"/>
      <x:c r="F89" s="9" t="n"/>
      <x:c r="G89" s="9" t="n"/>
      <x:c r="H89" s="30">
        <x:f>IF($A89="","",Config!$B$4)</x:f>
      </x:c>
      <x:c r="I89" s="30">
        <x:f>IF($A89="","",IF(C89&gt;Config!$B$5,Config!$B$6,0))</x:f>
      </x:c>
      <x:c r="J89" s="30">
        <x:f>IF($A89="","",IF(F89="Yes",Config!$B$7,0))</x:f>
      </x:c>
      <x:c r="K89" s="30">
        <x:f>IF($A89="","",IF(OR(D89="proposal",D89="negotiation"),Config!$B$8,0))</x:f>
      </x:c>
      <x:c r="L89" s="30">
        <x:f>IF($A89="","",IF(E89&gt;Config!$B$9,Config!$B$10,0))</x:f>
      </x:c>
      <x:c r="M89" s="30">
        <x:f>IF($A89="","",IF(G89&gt;=Config!$B$11,Config!$B$12,0))</x:f>
      </x:c>
      <x:c r="N89" s="30">
        <x:f>IF($A89="","",SUM(H89:M89))</x:f>
      </x:c>
      <x:c r="O89" s="30">
        <x:f>IF($A89="","",MAX(0,MIN(Config!$B$13,N89)))</x:f>
      </x:c>
      <x:c r="P89" s="12">
        <x:f>IF($A89="","",O89/Config!$B$13)</x:f>
      </x:c>
      <x:c r="Q89" s="13">
        <x:f>IF($A89="","",IF(O89&gt;=Config!$B$14,"A",IF(O89&gt;=Config!$B$15,"B","C")))</x:f>
      </x:c>
      <x:c r="R89" s="13">
        <x:f>IF($A89="","",IF(O89&gt;=Config!$B$14,"Low",IF(O89&gt;=Config!$B$15,"Medium","High")))</x:f>
      </x:c>
      <x:c r="S89" s="13">
        <x:f>IF($A89="","",IF(F89="No","Mapear decisor e agendar reunião",IF(E89&gt;Config!$B$9,"Realizar follow-up estruturado",IF(R89="High","Reavaliar estratégia do deal","Avançar para próxima etapa"))))</x:f>
      </x:c>
      <x:c r="T89" s="13">
        <x:f>IF($A89="","","Score " &amp; O89 &amp; "/100; rating " &amp; Q89 &amp; "; friction " &amp; R89 &amp; ".")</x:f>
      </x:c>
    </x:row>
    <x:row r="90" ht="34" customHeight="1">
      <x:c r="A90" s="9" t="n"/>
      <x:c r="B90" s="9" t="n"/>
      <x:c r="C90" s="29" t="n"/>
      <x:c r="D90" s="9" t="n"/>
      <x:c r="E90" s="9" t="n"/>
      <x:c r="F90" s="9" t="n"/>
      <x:c r="G90" s="9" t="n"/>
      <x:c r="H90" s="30">
        <x:f>IF($A90="","",Config!$B$4)</x:f>
      </x:c>
      <x:c r="I90" s="30">
        <x:f>IF($A90="","",IF(C90&gt;Config!$B$5,Config!$B$6,0))</x:f>
      </x:c>
      <x:c r="J90" s="30">
        <x:f>IF($A90="","",IF(F90="Yes",Config!$B$7,0))</x:f>
      </x:c>
      <x:c r="K90" s="30">
        <x:f>IF($A90="","",IF(OR(D90="proposal",D90="negotiation"),Config!$B$8,0))</x:f>
      </x:c>
      <x:c r="L90" s="30">
        <x:f>IF($A90="","",IF(E90&gt;Config!$B$9,Config!$B$10,0))</x:f>
      </x:c>
      <x:c r="M90" s="30">
        <x:f>IF($A90="","",IF(G90&gt;=Config!$B$11,Config!$B$12,0))</x:f>
      </x:c>
      <x:c r="N90" s="30">
        <x:f>IF($A90="","",SUM(H90:M90))</x:f>
      </x:c>
      <x:c r="O90" s="30">
        <x:f>IF($A90="","",MAX(0,MIN(Config!$B$13,N90)))</x:f>
      </x:c>
      <x:c r="P90" s="12">
        <x:f>IF($A90="","",O90/Config!$B$13)</x:f>
      </x:c>
      <x:c r="Q90" s="13">
        <x:f>IF($A90="","",IF(O90&gt;=Config!$B$14,"A",IF(O90&gt;=Config!$B$15,"B","C")))</x:f>
      </x:c>
      <x:c r="R90" s="13">
        <x:f>IF($A90="","",IF(O90&gt;=Config!$B$14,"Low",IF(O90&gt;=Config!$B$15,"Medium","High")))</x:f>
      </x:c>
      <x:c r="S90" s="13">
        <x:f>IF($A90="","",IF(F90="No","Mapear decisor e agendar reunião",IF(E90&gt;Config!$B$9,"Realizar follow-up estruturado",IF(R90="High","Reavaliar estratégia do deal","Avançar para próxima etapa"))))</x:f>
      </x:c>
      <x:c r="T90" s="13">
        <x:f>IF($A90="","","Score " &amp; O90 &amp; "/100; rating " &amp; Q90 &amp; "; friction " &amp; R90 &amp; ".")</x:f>
      </x:c>
    </x:row>
    <x:row r="91" ht="34" customHeight="1">
      <x:c r="A91" s="9" t="n"/>
      <x:c r="B91" s="9" t="n"/>
      <x:c r="C91" s="29" t="n"/>
      <x:c r="D91" s="9" t="n"/>
      <x:c r="E91" s="9" t="n"/>
      <x:c r="F91" s="9" t="n"/>
      <x:c r="G91" s="9" t="n"/>
      <x:c r="H91" s="30">
        <x:f>IF($A91="","",Config!$B$4)</x:f>
      </x:c>
      <x:c r="I91" s="30">
        <x:f>IF($A91="","",IF(C91&gt;Config!$B$5,Config!$B$6,0))</x:f>
      </x:c>
      <x:c r="J91" s="30">
        <x:f>IF($A91="","",IF(F91="Yes",Config!$B$7,0))</x:f>
      </x:c>
      <x:c r="K91" s="30">
        <x:f>IF($A91="","",IF(OR(D91="proposal",D91="negotiation"),Config!$B$8,0))</x:f>
      </x:c>
      <x:c r="L91" s="30">
        <x:f>IF($A91="","",IF(E91&gt;Config!$B$9,Config!$B$10,0))</x:f>
      </x:c>
      <x:c r="M91" s="30">
        <x:f>IF($A91="","",IF(G91&gt;=Config!$B$11,Config!$B$12,0))</x:f>
      </x:c>
      <x:c r="N91" s="30">
        <x:f>IF($A91="","",SUM(H91:M91))</x:f>
      </x:c>
      <x:c r="O91" s="30">
        <x:f>IF($A91="","",MAX(0,MIN(Config!$B$13,N91)))</x:f>
      </x:c>
      <x:c r="P91" s="12">
        <x:f>IF($A91="","",O91/Config!$B$13)</x:f>
      </x:c>
      <x:c r="Q91" s="13">
        <x:f>IF($A91="","",IF(O91&gt;=Config!$B$14,"A",IF(O91&gt;=Config!$B$15,"B","C")))</x:f>
      </x:c>
      <x:c r="R91" s="13">
        <x:f>IF($A91="","",IF(O91&gt;=Config!$B$14,"Low",IF(O91&gt;=Config!$B$15,"Medium","High")))</x:f>
      </x:c>
      <x:c r="S91" s="13">
        <x:f>IF($A91="","",IF(F91="No","Mapear decisor e agendar reunião",IF(E91&gt;Config!$B$9,"Realizar follow-up estruturado",IF(R91="High","Reavaliar estratégia do deal","Avançar para próxima etapa"))))</x:f>
      </x:c>
      <x:c r="T91" s="13">
        <x:f>IF($A91="","","Score " &amp; O91 &amp; "/100; rating " &amp; Q91 &amp; "; friction " &amp; R91 &amp; ".")</x:f>
      </x:c>
    </x:row>
    <x:row r="92" ht="34" customHeight="1">
      <x:c r="A92" s="9" t="n"/>
      <x:c r="B92" s="9" t="n"/>
      <x:c r="C92" s="29" t="n"/>
      <x:c r="D92" s="9" t="n"/>
      <x:c r="E92" s="9" t="n"/>
      <x:c r="F92" s="9" t="n"/>
      <x:c r="G92" s="9" t="n"/>
      <x:c r="H92" s="30">
        <x:f>IF($A92="","",Config!$B$4)</x:f>
      </x:c>
      <x:c r="I92" s="30">
        <x:f>IF($A92="","",IF(C92&gt;Config!$B$5,Config!$B$6,0))</x:f>
      </x:c>
      <x:c r="J92" s="30">
        <x:f>IF($A92="","",IF(F92="Yes",Config!$B$7,0))</x:f>
      </x:c>
      <x:c r="K92" s="30">
        <x:f>IF($A92="","",IF(OR(D92="proposal",D92="negotiation"),Config!$B$8,0))</x:f>
      </x:c>
      <x:c r="L92" s="30">
        <x:f>IF($A92="","",IF(E92&gt;Config!$B$9,Config!$B$10,0))</x:f>
      </x:c>
      <x:c r="M92" s="30">
        <x:f>IF($A92="","",IF(G92&gt;=Config!$B$11,Config!$B$12,0))</x:f>
      </x:c>
      <x:c r="N92" s="30">
        <x:f>IF($A92="","",SUM(H92:M92))</x:f>
      </x:c>
      <x:c r="O92" s="30">
        <x:f>IF($A92="","",MAX(0,MIN(Config!$B$13,N92)))</x:f>
      </x:c>
      <x:c r="P92" s="12">
        <x:f>IF($A92="","",O92/Config!$B$13)</x:f>
      </x:c>
      <x:c r="Q92" s="13">
        <x:f>IF($A92="","",IF(O92&gt;=Config!$B$14,"A",IF(O92&gt;=Config!$B$15,"B","C")))</x:f>
      </x:c>
      <x:c r="R92" s="13">
        <x:f>IF($A92="","",IF(O92&gt;=Config!$B$14,"Low",IF(O92&gt;=Config!$B$15,"Medium","High")))</x:f>
      </x:c>
      <x:c r="S92" s="13">
        <x:f>IF($A92="","",IF(F92="No","Mapear decisor e agendar reunião",IF(E92&gt;Config!$B$9,"Realizar follow-up estruturado",IF(R92="High","Reavaliar estratégia do deal","Avançar para próxima etapa"))))</x:f>
      </x:c>
      <x:c r="T92" s="13">
        <x:f>IF($A92="","","Score " &amp; O92 &amp; "/100; rating " &amp; Q92 &amp; "; friction " &amp; R92 &amp; ".")</x:f>
      </x:c>
    </x:row>
    <x:row r="93" ht="34" customHeight="1">
      <x:c r="A93" s="9" t="n"/>
      <x:c r="B93" s="9" t="n"/>
      <x:c r="C93" s="29" t="n"/>
      <x:c r="D93" s="9" t="n"/>
      <x:c r="E93" s="9" t="n"/>
      <x:c r="F93" s="9" t="n"/>
      <x:c r="G93" s="9" t="n"/>
      <x:c r="H93" s="30">
        <x:f>IF($A93="","",Config!$B$4)</x:f>
      </x:c>
      <x:c r="I93" s="30">
        <x:f>IF($A93="","",IF(C93&gt;Config!$B$5,Config!$B$6,0))</x:f>
      </x:c>
      <x:c r="J93" s="30">
        <x:f>IF($A93="","",IF(F93="Yes",Config!$B$7,0))</x:f>
      </x:c>
      <x:c r="K93" s="30">
        <x:f>IF($A93="","",IF(OR(D93="proposal",D93="negotiation"),Config!$B$8,0))</x:f>
      </x:c>
      <x:c r="L93" s="30">
        <x:f>IF($A93="","",IF(E93&gt;Config!$B$9,Config!$B$10,0))</x:f>
      </x:c>
      <x:c r="M93" s="30">
        <x:f>IF($A93="","",IF(G93&gt;=Config!$B$11,Config!$B$12,0))</x:f>
      </x:c>
      <x:c r="N93" s="30">
        <x:f>IF($A93="","",SUM(H93:M93))</x:f>
      </x:c>
      <x:c r="O93" s="30">
        <x:f>IF($A93="","",MAX(0,MIN(Config!$B$13,N93)))</x:f>
      </x:c>
      <x:c r="P93" s="12">
        <x:f>IF($A93="","",O93/Config!$B$13)</x:f>
      </x:c>
      <x:c r="Q93" s="13">
        <x:f>IF($A93="","",IF(O93&gt;=Config!$B$14,"A",IF(O93&gt;=Config!$B$15,"B","C")))</x:f>
      </x:c>
      <x:c r="R93" s="13">
        <x:f>IF($A93="","",IF(O93&gt;=Config!$B$14,"Low",IF(O93&gt;=Config!$B$15,"Medium","High")))</x:f>
      </x:c>
      <x:c r="S93" s="13">
        <x:f>IF($A93="","",IF(F93="No","Mapear decisor e agendar reunião",IF(E93&gt;Config!$B$9,"Realizar follow-up estruturado",IF(R93="High","Reavaliar estratégia do deal","Avançar para próxima etapa"))))</x:f>
      </x:c>
      <x:c r="T93" s="13">
        <x:f>IF($A93="","","Score " &amp; O93 &amp; "/100; rating " &amp; Q93 &amp; "; friction " &amp; R93 &amp; ".")</x:f>
      </x:c>
    </x:row>
    <x:row r="94" ht="34" customHeight="1">
      <x:c r="A94" s="9" t="n"/>
      <x:c r="B94" s="9" t="n"/>
      <x:c r="C94" s="29" t="n"/>
      <x:c r="D94" s="9" t="n"/>
      <x:c r="E94" s="9" t="n"/>
      <x:c r="F94" s="9" t="n"/>
      <x:c r="G94" s="9" t="n"/>
      <x:c r="H94" s="30">
        <x:f>IF($A94="","",Config!$B$4)</x:f>
      </x:c>
      <x:c r="I94" s="30">
        <x:f>IF($A94="","",IF(C94&gt;Config!$B$5,Config!$B$6,0))</x:f>
      </x:c>
      <x:c r="J94" s="30">
        <x:f>IF($A94="","",IF(F94="Yes",Config!$B$7,0))</x:f>
      </x:c>
      <x:c r="K94" s="30">
        <x:f>IF($A94="","",IF(OR(D94="proposal",D94="negotiation"),Config!$B$8,0))</x:f>
      </x:c>
      <x:c r="L94" s="30">
        <x:f>IF($A94="","",IF(E94&gt;Config!$B$9,Config!$B$10,0))</x:f>
      </x:c>
      <x:c r="M94" s="30">
        <x:f>IF($A94="","",IF(G94&gt;=Config!$B$11,Config!$B$12,0))</x:f>
      </x:c>
      <x:c r="N94" s="30">
        <x:f>IF($A94="","",SUM(H94:M94))</x:f>
      </x:c>
      <x:c r="O94" s="30">
        <x:f>IF($A94="","",MAX(0,MIN(Config!$B$13,N94)))</x:f>
      </x:c>
      <x:c r="P94" s="12">
        <x:f>IF($A94="","",O94/Config!$B$13)</x:f>
      </x:c>
      <x:c r="Q94" s="13">
        <x:f>IF($A94="","",IF(O94&gt;=Config!$B$14,"A",IF(O94&gt;=Config!$B$15,"B","C")))</x:f>
      </x:c>
      <x:c r="R94" s="13">
        <x:f>IF($A94="","",IF(O94&gt;=Config!$B$14,"Low",IF(O94&gt;=Config!$B$15,"Medium","High")))</x:f>
      </x:c>
      <x:c r="S94" s="13">
        <x:f>IF($A94="","",IF(F94="No","Mapear decisor e agendar reunião",IF(E94&gt;Config!$B$9,"Realizar follow-up estruturado",IF(R94="High","Reavaliar estratégia do deal","Avançar para próxima etapa"))))</x:f>
      </x:c>
      <x:c r="T94" s="13">
        <x:f>IF($A94="","","Score " &amp; O94 &amp; "/100; rating " &amp; Q94 &amp; "; friction " &amp; R94 &amp; ".")</x:f>
      </x:c>
    </x:row>
    <x:row r="95" ht="34" customHeight="1">
      <x:c r="A95" s="9" t="n"/>
      <x:c r="B95" s="9" t="n"/>
      <x:c r="C95" s="29" t="n"/>
      <x:c r="D95" s="9" t="n"/>
      <x:c r="E95" s="9" t="n"/>
      <x:c r="F95" s="9" t="n"/>
      <x:c r="G95" s="9" t="n"/>
      <x:c r="H95" s="30">
        <x:f>IF($A95="","",Config!$B$4)</x:f>
      </x:c>
      <x:c r="I95" s="30">
        <x:f>IF($A95="","",IF(C95&gt;Config!$B$5,Config!$B$6,0))</x:f>
      </x:c>
      <x:c r="J95" s="30">
        <x:f>IF($A95="","",IF(F95="Yes",Config!$B$7,0))</x:f>
      </x:c>
      <x:c r="K95" s="30">
        <x:f>IF($A95="","",IF(OR(D95="proposal",D95="negotiation"),Config!$B$8,0))</x:f>
      </x:c>
      <x:c r="L95" s="30">
        <x:f>IF($A95="","",IF(E95&gt;Config!$B$9,Config!$B$10,0))</x:f>
      </x:c>
      <x:c r="M95" s="30">
        <x:f>IF($A95="","",IF(G95&gt;=Config!$B$11,Config!$B$12,0))</x:f>
      </x:c>
      <x:c r="N95" s="30">
        <x:f>IF($A95="","",SUM(H95:M95))</x:f>
      </x:c>
      <x:c r="O95" s="30">
        <x:f>IF($A95="","",MAX(0,MIN(Config!$B$13,N95)))</x:f>
      </x:c>
      <x:c r="P95" s="12">
        <x:f>IF($A95="","",O95/Config!$B$13)</x:f>
      </x:c>
      <x:c r="Q95" s="13">
        <x:f>IF($A95="","",IF(O95&gt;=Config!$B$14,"A",IF(O95&gt;=Config!$B$15,"B","C")))</x:f>
      </x:c>
      <x:c r="R95" s="13">
        <x:f>IF($A95="","",IF(O95&gt;=Config!$B$14,"Low",IF(O95&gt;=Config!$B$15,"Medium","High")))</x:f>
      </x:c>
      <x:c r="S95" s="13">
        <x:f>IF($A95="","",IF(F95="No","Mapear decisor e agendar reunião",IF(E95&gt;Config!$B$9,"Realizar follow-up estruturado",IF(R95="High","Reavaliar estratégia do deal","Avançar para próxima etapa"))))</x:f>
      </x:c>
      <x:c r="T95" s="13">
        <x:f>IF($A95="","","Score " &amp; O95 &amp; "/100; rating " &amp; Q95 &amp; "; friction " &amp; R95 &amp; ".")</x:f>
      </x:c>
    </x:row>
    <x:row r="96" ht="34" customHeight="1">
      <x:c r="A96" s="9" t="n"/>
      <x:c r="B96" s="9" t="n"/>
      <x:c r="C96" s="29" t="n"/>
      <x:c r="D96" s="9" t="n"/>
      <x:c r="E96" s="9" t="n"/>
      <x:c r="F96" s="9" t="n"/>
      <x:c r="G96" s="9" t="n"/>
      <x:c r="H96" s="30">
        <x:f>IF($A96="","",Config!$B$4)</x:f>
      </x:c>
      <x:c r="I96" s="30">
        <x:f>IF($A96="","",IF(C96&gt;Config!$B$5,Config!$B$6,0))</x:f>
      </x:c>
      <x:c r="J96" s="30">
        <x:f>IF($A96="","",IF(F96="Yes",Config!$B$7,0))</x:f>
      </x:c>
      <x:c r="K96" s="30">
        <x:f>IF($A96="","",IF(OR(D96="proposal",D96="negotiation"),Config!$B$8,0))</x:f>
      </x:c>
      <x:c r="L96" s="30">
        <x:f>IF($A96="","",IF(E96&gt;Config!$B$9,Config!$B$10,0))</x:f>
      </x:c>
      <x:c r="M96" s="30">
        <x:f>IF($A96="","",IF(G96&gt;=Config!$B$11,Config!$B$12,0))</x:f>
      </x:c>
      <x:c r="N96" s="30">
        <x:f>IF($A96="","",SUM(H96:M96))</x:f>
      </x:c>
      <x:c r="O96" s="30">
        <x:f>IF($A96="","",MAX(0,MIN(Config!$B$13,N96)))</x:f>
      </x:c>
      <x:c r="P96" s="12">
        <x:f>IF($A96="","",O96/Config!$B$13)</x:f>
      </x:c>
      <x:c r="Q96" s="13">
        <x:f>IF($A96="","",IF(O96&gt;=Config!$B$14,"A",IF(O96&gt;=Config!$B$15,"B","C")))</x:f>
      </x:c>
      <x:c r="R96" s="13">
        <x:f>IF($A96="","",IF(O96&gt;=Config!$B$14,"Low",IF(O96&gt;=Config!$B$15,"Medium","High")))</x:f>
      </x:c>
      <x:c r="S96" s="13">
        <x:f>IF($A96="","",IF(F96="No","Mapear decisor e agendar reunião",IF(E96&gt;Config!$B$9,"Realizar follow-up estruturado",IF(R96="High","Reavaliar estratégia do deal","Avançar para próxima etapa"))))</x:f>
      </x:c>
      <x:c r="T96" s="13">
        <x:f>IF($A96="","","Score " &amp; O96 &amp; "/100; rating " &amp; Q96 &amp; "; friction " &amp; R96 &amp; ".")</x:f>
      </x:c>
    </x:row>
    <x:row r="97" ht="34" customHeight="1">
      <x:c r="A97" s="9" t="n"/>
      <x:c r="B97" s="9" t="n"/>
      <x:c r="C97" s="29" t="n"/>
      <x:c r="D97" s="9" t="n"/>
      <x:c r="E97" s="9" t="n"/>
      <x:c r="F97" s="9" t="n"/>
      <x:c r="G97" s="9" t="n"/>
      <x:c r="H97" s="30">
        <x:f>IF($A97="","",Config!$B$4)</x:f>
      </x:c>
      <x:c r="I97" s="30">
        <x:f>IF($A97="","",IF(C97&gt;Config!$B$5,Config!$B$6,0))</x:f>
      </x:c>
      <x:c r="J97" s="30">
        <x:f>IF($A97="","",IF(F97="Yes",Config!$B$7,0))</x:f>
      </x:c>
      <x:c r="K97" s="30">
        <x:f>IF($A97="","",IF(OR(D97="proposal",D97="negotiation"),Config!$B$8,0))</x:f>
      </x:c>
      <x:c r="L97" s="30">
        <x:f>IF($A97="","",IF(E97&gt;Config!$B$9,Config!$B$10,0))</x:f>
      </x:c>
      <x:c r="M97" s="30">
        <x:f>IF($A97="","",IF(G97&gt;=Config!$B$11,Config!$B$12,0))</x:f>
      </x:c>
      <x:c r="N97" s="30">
        <x:f>IF($A97="","",SUM(H97:M97))</x:f>
      </x:c>
      <x:c r="O97" s="30">
        <x:f>IF($A97="","",MAX(0,MIN(Config!$B$13,N97)))</x:f>
      </x:c>
      <x:c r="P97" s="12">
        <x:f>IF($A97="","",O97/Config!$B$13)</x:f>
      </x:c>
      <x:c r="Q97" s="13">
        <x:f>IF($A97="","",IF(O97&gt;=Config!$B$14,"A",IF(O97&gt;=Config!$B$15,"B","C")))</x:f>
      </x:c>
      <x:c r="R97" s="13">
        <x:f>IF($A97="","",IF(O97&gt;=Config!$B$14,"Low",IF(O97&gt;=Config!$B$15,"Medium","High")))</x:f>
      </x:c>
      <x:c r="S97" s="13">
        <x:f>IF($A97="","",IF(F97="No","Mapear decisor e agendar reunião",IF(E97&gt;Config!$B$9,"Realizar follow-up estruturado",IF(R97="High","Reavaliar estratégia do deal","Avançar para próxima etapa"))))</x:f>
      </x:c>
      <x:c r="T97" s="13">
        <x:f>IF($A97="","","Score " &amp; O97 &amp; "/100; rating " &amp; Q97 &amp; "; friction " &amp; R97 &amp; ".")</x:f>
      </x:c>
    </x:row>
    <x:row r="98" ht="34" customHeight="1">
      <x:c r="A98" s="9" t="n"/>
      <x:c r="B98" s="9" t="n"/>
      <x:c r="C98" s="29" t="n"/>
      <x:c r="D98" s="9" t="n"/>
      <x:c r="E98" s="9" t="n"/>
      <x:c r="F98" s="9" t="n"/>
      <x:c r="G98" s="9" t="n"/>
      <x:c r="H98" s="30">
        <x:f>IF($A98="","",Config!$B$4)</x:f>
      </x:c>
      <x:c r="I98" s="30">
        <x:f>IF($A98="","",IF(C98&gt;Config!$B$5,Config!$B$6,0))</x:f>
      </x:c>
      <x:c r="J98" s="30">
        <x:f>IF($A98="","",IF(F98="Yes",Config!$B$7,0))</x:f>
      </x:c>
      <x:c r="K98" s="30">
        <x:f>IF($A98="","",IF(OR(D98="proposal",D98="negotiation"),Config!$B$8,0))</x:f>
      </x:c>
      <x:c r="L98" s="30">
        <x:f>IF($A98="","",IF(E98&gt;Config!$B$9,Config!$B$10,0))</x:f>
      </x:c>
      <x:c r="M98" s="30">
        <x:f>IF($A98="","",IF(G98&gt;=Config!$B$11,Config!$B$12,0))</x:f>
      </x:c>
      <x:c r="N98" s="30">
        <x:f>IF($A98="","",SUM(H98:M98))</x:f>
      </x:c>
      <x:c r="O98" s="30">
        <x:f>IF($A98="","",MAX(0,MIN(Config!$B$13,N98)))</x:f>
      </x:c>
      <x:c r="P98" s="12">
        <x:f>IF($A98="","",O98/Config!$B$13)</x:f>
      </x:c>
      <x:c r="Q98" s="13">
        <x:f>IF($A98="","",IF(O98&gt;=Config!$B$14,"A",IF(O98&gt;=Config!$B$15,"B","C")))</x:f>
      </x:c>
      <x:c r="R98" s="13">
        <x:f>IF($A98="","",IF(O98&gt;=Config!$B$14,"Low",IF(O98&gt;=Config!$B$15,"Medium","High")))</x:f>
      </x:c>
      <x:c r="S98" s="13">
        <x:f>IF($A98="","",IF(F98="No","Mapear decisor e agendar reunião",IF(E98&gt;Config!$B$9,"Realizar follow-up estruturado",IF(R98="High","Reavaliar estratégia do deal","Avançar para próxima etapa"))))</x:f>
      </x:c>
      <x:c r="T98" s="13">
        <x:f>IF($A98="","","Score " &amp; O98 &amp; "/100; rating " &amp; Q98 &amp; "; friction " &amp; R98 &amp; ".")</x:f>
      </x:c>
    </x:row>
    <x:row r="99" ht="34" customHeight="1">
      <x:c r="A99" s="9" t="n"/>
      <x:c r="B99" s="9" t="n"/>
      <x:c r="C99" s="29" t="n"/>
      <x:c r="D99" s="9" t="n"/>
      <x:c r="E99" s="9" t="n"/>
      <x:c r="F99" s="9" t="n"/>
      <x:c r="G99" s="9" t="n"/>
      <x:c r="H99" s="30">
        <x:f>IF($A99="","",Config!$B$4)</x:f>
      </x:c>
      <x:c r="I99" s="30">
        <x:f>IF($A99="","",IF(C99&gt;Config!$B$5,Config!$B$6,0))</x:f>
      </x:c>
      <x:c r="J99" s="30">
        <x:f>IF($A99="","",IF(F99="Yes",Config!$B$7,0))</x:f>
      </x:c>
      <x:c r="K99" s="30">
        <x:f>IF($A99="","",IF(OR(D99="proposal",D99="negotiation"),Config!$B$8,0))</x:f>
      </x:c>
      <x:c r="L99" s="30">
        <x:f>IF($A99="","",IF(E99&gt;Config!$B$9,Config!$B$10,0))</x:f>
      </x:c>
      <x:c r="M99" s="30">
        <x:f>IF($A99="","",IF(G99&gt;=Config!$B$11,Config!$B$12,0))</x:f>
      </x:c>
      <x:c r="N99" s="30">
        <x:f>IF($A99="","",SUM(H99:M99))</x:f>
      </x:c>
      <x:c r="O99" s="30">
        <x:f>IF($A99="","",MAX(0,MIN(Config!$B$13,N99)))</x:f>
      </x:c>
      <x:c r="P99" s="12">
        <x:f>IF($A99="","",O99/Config!$B$13)</x:f>
      </x:c>
      <x:c r="Q99" s="13">
        <x:f>IF($A99="","",IF(O99&gt;=Config!$B$14,"A",IF(O99&gt;=Config!$B$15,"B","C")))</x:f>
      </x:c>
      <x:c r="R99" s="13">
        <x:f>IF($A99="","",IF(O99&gt;=Config!$B$14,"Low",IF(O99&gt;=Config!$B$15,"Medium","High")))</x:f>
      </x:c>
      <x:c r="S99" s="13">
        <x:f>IF($A99="","",IF(F99="No","Mapear decisor e agendar reunião",IF(E99&gt;Config!$B$9,"Realizar follow-up estruturado",IF(R99="High","Reavaliar estratégia do deal","Avançar para próxima etapa"))))</x:f>
      </x:c>
      <x:c r="T99" s="13">
        <x:f>IF($A99="","","Score " &amp; O99 &amp; "/100; rating " &amp; Q99 &amp; "; friction " &amp; R99 &amp; ".")</x:f>
      </x:c>
    </x:row>
    <x:row r="100" ht="34" customHeight="1">
      <x:c r="A100" s="9" t="n"/>
      <x:c r="B100" s="9" t="n"/>
      <x:c r="C100" s="29" t="n"/>
      <x:c r="D100" s="9" t="n"/>
      <x:c r="E100" s="9" t="n"/>
      <x:c r="F100" s="9" t="n"/>
      <x:c r="G100" s="9" t="n"/>
      <x:c r="H100" s="30">
        <x:f>IF($A100="","",Config!$B$4)</x:f>
      </x:c>
      <x:c r="I100" s="30">
        <x:f>IF($A100="","",IF(C100&gt;Config!$B$5,Config!$B$6,0))</x:f>
      </x:c>
      <x:c r="J100" s="30">
        <x:f>IF($A100="","",IF(F100="Yes",Config!$B$7,0))</x:f>
      </x:c>
      <x:c r="K100" s="30">
        <x:f>IF($A100="","",IF(OR(D100="proposal",D100="negotiation"),Config!$B$8,0))</x:f>
      </x:c>
      <x:c r="L100" s="30">
        <x:f>IF($A100="","",IF(E100&gt;Config!$B$9,Config!$B$10,0))</x:f>
      </x:c>
      <x:c r="M100" s="30">
        <x:f>IF($A100="","",IF(G100&gt;=Config!$B$11,Config!$B$12,0))</x:f>
      </x:c>
      <x:c r="N100" s="30">
        <x:f>IF($A100="","",SUM(H100:M100))</x:f>
      </x:c>
      <x:c r="O100" s="30">
        <x:f>IF($A100="","",MAX(0,MIN(Config!$B$13,N100)))</x:f>
      </x:c>
      <x:c r="P100" s="12">
        <x:f>IF($A100="","",O100/Config!$B$13)</x:f>
      </x:c>
      <x:c r="Q100" s="13">
        <x:f>IF($A100="","",IF(O100&gt;=Config!$B$14,"A",IF(O100&gt;=Config!$B$15,"B","C")))</x:f>
      </x:c>
      <x:c r="R100" s="13">
        <x:f>IF($A100="","",IF(O100&gt;=Config!$B$14,"Low",IF(O100&gt;=Config!$B$15,"Medium","High")))</x:f>
      </x:c>
      <x:c r="S100" s="13">
        <x:f>IF($A100="","",IF(F100="No","Mapear decisor e agendar reunião",IF(E100&gt;Config!$B$9,"Realizar follow-up estruturado",IF(R100="High","Reavaliar estratégia do deal","Avançar para próxima etapa"))))</x:f>
      </x:c>
      <x:c r="T100" s="13">
        <x:f>IF($A100="","","Score " &amp; O100 &amp; "/100; rating " &amp; Q100 &amp; "; friction " &amp; R100 &amp; ".")</x:f>
      </x:c>
    </x:row>
    <x:row r="101" ht="34" customHeight="1">
      <x:c r="A101" s="9" t="n"/>
      <x:c r="B101" s="9" t="n"/>
      <x:c r="C101" s="29" t="n"/>
      <x:c r="D101" s="9" t="n"/>
      <x:c r="E101" s="9" t="n"/>
      <x:c r="F101" s="9" t="n"/>
      <x:c r="G101" s="9" t="n"/>
      <x:c r="H101" s="30">
        <x:f>IF($A101="","",Config!$B$4)</x:f>
      </x:c>
      <x:c r="I101" s="30">
        <x:f>IF($A101="","",IF(C101&gt;Config!$B$5,Config!$B$6,0))</x:f>
      </x:c>
      <x:c r="J101" s="30">
        <x:f>IF($A101="","",IF(F101="Yes",Config!$B$7,0))</x:f>
      </x:c>
      <x:c r="K101" s="30">
        <x:f>IF($A101="","",IF(OR(D101="proposal",D101="negotiation"),Config!$B$8,0))</x:f>
      </x:c>
      <x:c r="L101" s="30">
        <x:f>IF($A101="","",IF(E101&gt;Config!$B$9,Config!$B$10,0))</x:f>
      </x:c>
      <x:c r="M101" s="30">
        <x:f>IF($A101="","",IF(G101&gt;=Config!$B$11,Config!$B$12,0))</x:f>
      </x:c>
      <x:c r="N101" s="30">
        <x:f>IF($A101="","",SUM(H101:M101))</x:f>
      </x:c>
      <x:c r="O101" s="30">
        <x:f>IF($A101="","",MAX(0,MIN(Config!$B$13,N101)))</x:f>
      </x:c>
      <x:c r="P101" s="12">
        <x:f>IF($A101="","",O101/Config!$B$13)</x:f>
      </x:c>
      <x:c r="Q101" s="13">
        <x:f>IF($A101="","",IF(O101&gt;=Config!$B$14,"A",IF(O101&gt;=Config!$B$15,"B","C")))</x:f>
      </x:c>
      <x:c r="R101" s="13">
        <x:f>IF($A101="","",IF(O101&gt;=Config!$B$14,"Low",IF(O101&gt;=Config!$B$15,"Medium","High")))</x:f>
      </x:c>
      <x:c r="S101" s="13">
        <x:f>IF($A101="","",IF(F101="No","Mapear decisor e agendar reunião",IF(E101&gt;Config!$B$9,"Realizar follow-up estruturado",IF(R101="High","Reavaliar estratégia do deal","Avançar para próxima etapa"))))</x:f>
      </x:c>
      <x:c r="T101" s="13">
        <x:f>IF($A101="","","Score " &amp; O101 &amp; "/100; rating " &amp; Q101 &amp; "; friction " &amp; R101 &amp; ".")</x:f>
      </x:c>
    </x:row>
    <x:row r="102" ht="34" customHeight="1">
      <x:c r="A102" s="9" t="n"/>
      <x:c r="B102" s="9" t="n"/>
      <x:c r="C102" s="29" t="n"/>
      <x:c r="D102" s="9" t="n"/>
      <x:c r="E102" s="9" t="n"/>
      <x:c r="F102" s="9" t="n"/>
      <x:c r="G102" s="9" t="n"/>
      <x:c r="H102" s="30">
        <x:f>IF($A102="","",Config!$B$4)</x:f>
      </x:c>
      <x:c r="I102" s="30">
        <x:f>IF($A102="","",IF(C102&gt;Config!$B$5,Config!$B$6,0))</x:f>
      </x:c>
      <x:c r="J102" s="30">
        <x:f>IF($A102="","",IF(F102="Yes",Config!$B$7,0))</x:f>
      </x:c>
      <x:c r="K102" s="30">
        <x:f>IF($A102="","",IF(OR(D102="proposal",D102="negotiation"),Config!$B$8,0))</x:f>
      </x:c>
      <x:c r="L102" s="30">
        <x:f>IF($A102="","",IF(E102&gt;Config!$B$9,Config!$B$10,0))</x:f>
      </x:c>
      <x:c r="M102" s="30">
        <x:f>IF($A102="","",IF(G102&gt;=Config!$B$11,Config!$B$12,0))</x:f>
      </x:c>
      <x:c r="N102" s="30">
        <x:f>IF($A102="","",SUM(H102:M102))</x:f>
      </x:c>
      <x:c r="O102" s="30">
        <x:f>IF($A102="","",MAX(0,MIN(Config!$B$13,N102)))</x:f>
      </x:c>
      <x:c r="P102" s="12">
        <x:f>IF($A102="","",O102/Config!$B$13)</x:f>
      </x:c>
      <x:c r="Q102" s="13">
        <x:f>IF($A102="","",IF(O102&gt;=Config!$B$14,"A",IF(O102&gt;=Config!$B$15,"B","C")))</x:f>
      </x:c>
      <x:c r="R102" s="13">
        <x:f>IF($A102="","",IF(O102&gt;=Config!$B$14,"Low",IF(O102&gt;=Config!$B$15,"Medium","High")))</x:f>
      </x:c>
      <x:c r="S102" s="13">
        <x:f>IF($A102="","",IF(F102="No","Mapear decisor e agendar reunião",IF(E102&gt;Config!$B$9,"Realizar follow-up estruturado",IF(R102="High","Reavaliar estratégia do deal","Avançar para próxima etapa"))))</x:f>
      </x:c>
      <x:c r="T102" s="13">
        <x:f>IF($A102="","","Score " &amp; O102 &amp; "/100; rating " &amp; Q102 &amp; "; friction " &amp; R102 &amp; ".")</x:f>
      </x:c>
    </x:row>
    <x:row r="103" ht="34" customHeight="1">
      <x:c r="A103" s="9" t="n"/>
      <x:c r="B103" s="9" t="n"/>
      <x:c r="C103" s="29" t="n"/>
      <x:c r="D103" s="9" t="n"/>
      <x:c r="E103" s="9" t="n"/>
      <x:c r="F103" s="9" t="n"/>
      <x:c r="G103" s="9" t="n"/>
      <x:c r="H103" s="30">
        <x:f>IF($A103="","",Config!$B$4)</x:f>
      </x:c>
      <x:c r="I103" s="30">
        <x:f>IF($A103="","",IF(C103&gt;Config!$B$5,Config!$B$6,0))</x:f>
      </x:c>
      <x:c r="J103" s="30">
        <x:f>IF($A103="","",IF(F103="Yes",Config!$B$7,0))</x:f>
      </x:c>
      <x:c r="K103" s="30">
        <x:f>IF($A103="","",IF(OR(D103="proposal",D103="negotiation"),Config!$B$8,0))</x:f>
      </x:c>
      <x:c r="L103" s="30">
        <x:f>IF($A103="","",IF(E103&gt;Config!$B$9,Config!$B$10,0))</x:f>
      </x:c>
      <x:c r="M103" s="30">
        <x:f>IF($A103="","",IF(G103&gt;=Config!$B$11,Config!$B$12,0))</x:f>
      </x:c>
      <x:c r="N103" s="30">
        <x:f>IF($A103="","",SUM(H103:M103))</x:f>
      </x:c>
      <x:c r="O103" s="30">
        <x:f>IF($A103="","",MAX(0,MIN(Config!$B$13,N103)))</x:f>
      </x:c>
      <x:c r="P103" s="12">
        <x:f>IF($A103="","",O103/Config!$B$13)</x:f>
      </x:c>
      <x:c r="Q103" s="13">
        <x:f>IF($A103="","",IF(O103&gt;=Config!$B$14,"A",IF(O103&gt;=Config!$B$15,"B","C")))</x:f>
      </x:c>
      <x:c r="R103" s="13">
        <x:f>IF($A103="","",IF(O103&gt;=Config!$B$14,"Low",IF(O103&gt;=Config!$B$15,"Medium","High")))</x:f>
      </x:c>
      <x:c r="S103" s="13">
        <x:f>IF($A103="","",IF(F103="No","Mapear decisor e agendar reunião",IF(E103&gt;Config!$B$9,"Realizar follow-up estruturado",IF(R103="High","Reavaliar estratégia do deal","Avançar para próxima etapa"))))</x:f>
      </x:c>
      <x:c r="T103" s="13">
        <x:f>IF($A103="","","Score " &amp; O103 &amp; "/100; rating " &amp; Q103 &amp; "; friction " &amp; R103 &amp; ".")</x:f>
      </x:c>
    </x:row>
    <x:row r="104" ht="34" customHeight="1">
      <x:c r="A104" s="9" t="n"/>
      <x:c r="B104" s="9" t="n"/>
      <x:c r="C104" s="29" t="n"/>
      <x:c r="D104" s="9" t="n"/>
      <x:c r="E104" s="9" t="n"/>
      <x:c r="F104" s="9" t="n"/>
      <x:c r="G104" s="9" t="n"/>
      <x:c r="H104" s="30">
        <x:f>IF($A104="","",Config!$B$4)</x:f>
      </x:c>
      <x:c r="I104" s="30">
        <x:f>IF($A104="","",IF(C104&gt;Config!$B$5,Config!$B$6,0))</x:f>
      </x:c>
      <x:c r="J104" s="30">
        <x:f>IF($A104="","",IF(F104="Yes",Config!$B$7,0))</x:f>
      </x:c>
      <x:c r="K104" s="30">
        <x:f>IF($A104="","",IF(OR(D104="proposal",D104="negotiation"),Config!$B$8,0))</x:f>
      </x:c>
      <x:c r="L104" s="30">
        <x:f>IF($A104="","",IF(E104&gt;Config!$B$9,Config!$B$10,0))</x:f>
      </x:c>
      <x:c r="M104" s="30">
        <x:f>IF($A104="","",IF(G104&gt;=Config!$B$11,Config!$B$12,0))</x:f>
      </x:c>
      <x:c r="N104" s="30">
        <x:f>IF($A104="","",SUM(H104:M104))</x:f>
      </x:c>
      <x:c r="O104" s="30">
        <x:f>IF($A104="","",MAX(0,MIN(Config!$B$13,N104)))</x:f>
      </x:c>
      <x:c r="P104" s="12">
        <x:f>IF($A104="","",O104/Config!$B$13)</x:f>
      </x:c>
      <x:c r="Q104" s="13">
        <x:f>IF($A104="","",IF(O104&gt;=Config!$B$14,"A",IF(O104&gt;=Config!$B$15,"B","C")))</x:f>
      </x:c>
      <x:c r="R104" s="13">
        <x:f>IF($A104="","",IF(O104&gt;=Config!$B$14,"Low",IF(O104&gt;=Config!$B$15,"Medium","High")))</x:f>
      </x:c>
      <x:c r="S104" s="13">
        <x:f>IF($A104="","",IF(F104="No","Mapear decisor e agendar reunião",IF(E104&gt;Config!$B$9,"Realizar follow-up estruturado",IF(R104="High","Reavaliar estratégia do deal","Avançar para próxima etapa"))))</x:f>
      </x:c>
      <x:c r="T104" s="13">
        <x:f>IF($A104="","","Score " &amp; O104 &amp; "/100; rating " &amp; Q104 &amp; "; friction " &amp; R104 &amp; ".")</x:f>
      </x:c>
    </x:row>
    <x:row r="105" ht="34" customHeight="1">
      <x:c r="A105" s="9" t="n"/>
      <x:c r="B105" s="9" t="n"/>
      <x:c r="C105" s="29" t="n"/>
      <x:c r="D105" s="9" t="n"/>
      <x:c r="E105" s="9" t="n"/>
      <x:c r="F105" s="9" t="n"/>
      <x:c r="G105" s="9" t="n"/>
      <x:c r="H105" s="30">
        <x:f>IF($A105="","",Config!$B$4)</x:f>
      </x:c>
      <x:c r="I105" s="30">
        <x:f>IF($A105="","",IF(C105&gt;Config!$B$5,Config!$B$6,0))</x:f>
      </x:c>
      <x:c r="J105" s="30">
        <x:f>IF($A105="","",IF(F105="Yes",Config!$B$7,0))</x:f>
      </x:c>
      <x:c r="K105" s="30">
        <x:f>IF($A105="","",IF(OR(D105="proposal",D105="negotiation"),Config!$B$8,0))</x:f>
      </x:c>
      <x:c r="L105" s="30">
        <x:f>IF($A105="","",IF(E105&gt;Config!$B$9,Config!$B$10,0))</x:f>
      </x:c>
      <x:c r="M105" s="30">
        <x:f>IF($A105="","",IF(G105&gt;=Config!$B$11,Config!$B$12,0))</x:f>
      </x:c>
      <x:c r="N105" s="30">
        <x:f>IF($A105="","",SUM(H105:M105))</x:f>
      </x:c>
      <x:c r="O105" s="30">
        <x:f>IF($A105="","",MAX(0,MIN(Config!$B$13,N105)))</x:f>
      </x:c>
      <x:c r="P105" s="12">
        <x:f>IF($A105="","",O105/Config!$B$13)</x:f>
      </x:c>
      <x:c r="Q105" s="13">
        <x:f>IF($A105="","",IF(O105&gt;=Config!$B$14,"A",IF(O105&gt;=Config!$B$15,"B","C")))</x:f>
      </x:c>
      <x:c r="R105" s="13">
        <x:f>IF($A105="","",IF(O105&gt;=Config!$B$14,"Low",IF(O105&gt;=Config!$B$15,"Medium","High")))</x:f>
      </x:c>
      <x:c r="S105" s="13">
        <x:f>IF($A105="","",IF(F105="No","Mapear decisor e agendar reunião",IF(E105&gt;Config!$B$9,"Realizar follow-up estruturado",IF(R105="High","Reavaliar estratégia do deal","Avançar para próxima etapa"))))</x:f>
      </x:c>
      <x:c r="T105" s="13">
        <x:f>IF($A105="","","Score " &amp; O105 &amp; "/100; rating " &amp; Q105 &amp; "; friction " &amp; R105 &amp; ".")</x:f>
      </x:c>
    </x:row>
    <x:row r="106" ht="34" customHeight="1">
      <x:c r="A106" s="9" t="n"/>
      <x:c r="B106" s="9" t="n"/>
      <x:c r="C106" s="29" t="n"/>
      <x:c r="D106" s="9" t="n"/>
      <x:c r="E106" s="9" t="n"/>
      <x:c r="F106" s="9" t="n"/>
      <x:c r="G106" s="9" t="n"/>
      <x:c r="H106" s="30">
        <x:f>IF($A106="","",Config!$B$4)</x:f>
      </x:c>
      <x:c r="I106" s="30">
        <x:f>IF($A106="","",IF(C106&gt;Config!$B$5,Config!$B$6,0))</x:f>
      </x:c>
      <x:c r="J106" s="30">
        <x:f>IF($A106="","",IF(F106="Yes",Config!$B$7,0))</x:f>
      </x:c>
      <x:c r="K106" s="30">
        <x:f>IF($A106="","",IF(OR(D106="proposal",D106="negotiation"),Config!$B$8,0))</x:f>
      </x:c>
      <x:c r="L106" s="30">
        <x:f>IF($A106="","",IF(E106&gt;Config!$B$9,Config!$B$10,0))</x:f>
      </x:c>
      <x:c r="M106" s="30">
        <x:f>IF($A106="","",IF(G106&gt;=Config!$B$11,Config!$B$12,0))</x:f>
      </x:c>
      <x:c r="N106" s="30">
        <x:f>IF($A106="","",SUM(H106:M106))</x:f>
      </x:c>
      <x:c r="O106" s="30">
        <x:f>IF($A106="","",MAX(0,MIN(Config!$B$13,N106)))</x:f>
      </x:c>
      <x:c r="P106" s="12">
        <x:f>IF($A106="","",O106/Config!$B$13)</x:f>
      </x:c>
      <x:c r="Q106" s="13">
        <x:f>IF($A106="","",IF(O106&gt;=Config!$B$14,"A",IF(O106&gt;=Config!$B$15,"B","C")))</x:f>
      </x:c>
      <x:c r="R106" s="13">
        <x:f>IF($A106="","",IF(O106&gt;=Config!$B$14,"Low",IF(O106&gt;=Config!$B$15,"Medium","High")))</x:f>
      </x:c>
      <x:c r="S106" s="13">
        <x:f>IF($A106="","",IF(F106="No","Mapear decisor e agendar reunião",IF(E106&gt;Config!$B$9,"Realizar follow-up estruturado",IF(R106="High","Reavaliar estratégia do deal","Avançar para próxima etapa"))))</x:f>
      </x:c>
      <x:c r="T106" s="13">
        <x:f>IF($A106="","","Score " &amp; O106 &amp; "/100; rating " &amp; Q106 &amp; "; friction " &amp; R106 &amp; ".")</x:f>
      </x:c>
    </x:row>
    <x:row r="107" ht="34" customHeight="1">
      <x:c r="A107" s="9" t="n"/>
      <x:c r="B107" s="9" t="n"/>
      <x:c r="C107" s="29" t="n"/>
      <x:c r="D107" s="9" t="n"/>
      <x:c r="E107" s="9" t="n"/>
      <x:c r="F107" s="9" t="n"/>
      <x:c r="G107" s="9" t="n"/>
      <x:c r="H107" s="30">
        <x:f>IF($A107="","",Config!$B$4)</x:f>
      </x:c>
      <x:c r="I107" s="30">
        <x:f>IF($A107="","",IF(C107&gt;Config!$B$5,Config!$B$6,0))</x:f>
      </x:c>
      <x:c r="J107" s="30">
        <x:f>IF($A107="","",IF(F107="Yes",Config!$B$7,0))</x:f>
      </x:c>
      <x:c r="K107" s="30">
        <x:f>IF($A107="","",IF(OR(D107="proposal",D107="negotiation"),Config!$B$8,0))</x:f>
      </x:c>
      <x:c r="L107" s="30">
        <x:f>IF($A107="","",IF(E107&gt;Config!$B$9,Config!$B$10,0))</x:f>
      </x:c>
      <x:c r="M107" s="30">
        <x:f>IF($A107="","",IF(G107&gt;=Config!$B$11,Config!$B$12,0))</x:f>
      </x:c>
      <x:c r="N107" s="30">
        <x:f>IF($A107="","",SUM(H107:M107))</x:f>
      </x:c>
      <x:c r="O107" s="30">
        <x:f>IF($A107="","",MAX(0,MIN(Config!$B$13,N107)))</x:f>
      </x:c>
      <x:c r="P107" s="12">
        <x:f>IF($A107="","",O107/Config!$B$13)</x:f>
      </x:c>
      <x:c r="Q107" s="13">
        <x:f>IF($A107="","",IF(O107&gt;=Config!$B$14,"A",IF(O107&gt;=Config!$B$15,"B","C")))</x:f>
      </x:c>
      <x:c r="R107" s="13">
        <x:f>IF($A107="","",IF(O107&gt;=Config!$B$14,"Low",IF(O107&gt;=Config!$B$15,"Medium","High")))</x:f>
      </x:c>
      <x:c r="S107" s="13">
        <x:f>IF($A107="","",IF(F107="No","Mapear decisor e agendar reunião",IF(E107&gt;Config!$B$9,"Realizar follow-up estruturado",IF(R107="High","Reavaliar estratégia do deal","Avançar para próxima etapa"))))</x:f>
      </x:c>
      <x:c r="T107" s="13">
        <x:f>IF($A107="","","Score " &amp; O107 &amp; "/100; rating " &amp; Q107 &amp; "; friction " &amp; R107 &amp; ".")</x:f>
      </x:c>
    </x:row>
    <x:row r="108" ht="34" customHeight="1">
      <x:c r="A108" s="9" t="n"/>
      <x:c r="B108" s="9" t="n"/>
      <x:c r="C108" s="29" t="n"/>
      <x:c r="D108" s="9" t="n"/>
      <x:c r="E108" s="9" t="n"/>
      <x:c r="F108" s="9" t="n"/>
      <x:c r="G108" s="9" t="n"/>
      <x:c r="H108" s="30">
        <x:f>IF($A108="","",Config!$B$4)</x:f>
      </x:c>
      <x:c r="I108" s="30">
        <x:f>IF($A108="","",IF(C108&gt;Config!$B$5,Config!$B$6,0))</x:f>
      </x:c>
      <x:c r="J108" s="30">
        <x:f>IF($A108="","",IF(F108="Yes",Config!$B$7,0))</x:f>
      </x:c>
      <x:c r="K108" s="30">
        <x:f>IF($A108="","",IF(OR(D108="proposal",D108="negotiation"),Config!$B$8,0))</x:f>
      </x:c>
      <x:c r="L108" s="30">
        <x:f>IF($A108="","",IF(E108&gt;Config!$B$9,Config!$B$10,0))</x:f>
      </x:c>
      <x:c r="M108" s="30">
        <x:f>IF($A108="","",IF(G108&gt;=Config!$B$11,Config!$B$12,0))</x:f>
      </x:c>
      <x:c r="N108" s="30">
        <x:f>IF($A108="","",SUM(H108:M108))</x:f>
      </x:c>
      <x:c r="O108" s="30">
        <x:f>IF($A108="","",MAX(0,MIN(Config!$B$13,N108)))</x:f>
      </x:c>
      <x:c r="P108" s="12">
        <x:f>IF($A108="","",O108/Config!$B$13)</x:f>
      </x:c>
      <x:c r="Q108" s="13">
        <x:f>IF($A108="","",IF(O108&gt;=Config!$B$14,"A",IF(O108&gt;=Config!$B$15,"B","C")))</x:f>
      </x:c>
      <x:c r="R108" s="13">
        <x:f>IF($A108="","",IF(O108&gt;=Config!$B$14,"Low",IF(O108&gt;=Config!$B$15,"Medium","High")))</x:f>
      </x:c>
      <x:c r="S108" s="13">
        <x:f>IF($A108="","",IF(F108="No","Mapear decisor e agendar reunião",IF(E108&gt;Config!$B$9,"Realizar follow-up estruturado",IF(R108="High","Reavaliar estratégia do deal","Avançar para próxima etapa"))))</x:f>
      </x:c>
      <x:c r="T108" s="13">
        <x:f>IF($A108="","","Score " &amp; O108 &amp; "/100; rating " &amp; Q108 &amp; "; friction " &amp; R108 &amp; ".")</x:f>
      </x:c>
    </x:row>
    <x:row r="109" ht="34" customHeight="1">
      <x:c r="A109" s="9" t="n"/>
      <x:c r="B109" s="9" t="n"/>
      <x:c r="C109" s="29" t="n"/>
      <x:c r="D109" s="9" t="n"/>
      <x:c r="E109" s="9" t="n"/>
      <x:c r="F109" s="9" t="n"/>
      <x:c r="G109" s="9" t="n"/>
      <x:c r="H109" s="30">
        <x:f>IF($A109="","",Config!$B$4)</x:f>
      </x:c>
      <x:c r="I109" s="30">
        <x:f>IF($A109="","",IF(C109&gt;Config!$B$5,Config!$B$6,0))</x:f>
      </x:c>
      <x:c r="J109" s="30">
        <x:f>IF($A109="","",IF(F109="Yes",Config!$B$7,0))</x:f>
      </x:c>
      <x:c r="K109" s="30">
        <x:f>IF($A109="","",IF(OR(D109="proposal",D109="negotiation"),Config!$B$8,0))</x:f>
      </x:c>
      <x:c r="L109" s="30">
        <x:f>IF($A109="","",IF(E109&gt;Config!$B$9,Config!$B$10,0))</x:f>
      </x:c>
      <x:c r="M109" s="30">
        <x:f>IF($A109="","",IF(G109&gt;=Config!$B$11,Config!$B$12,0))</x:f>
      </x:c>
      <x:c r="N109" s="30">
        <x:f>IF($A109="","",SUM(H109:M109))</x:f>
      </x:c>
      <x:c r="O109" s="30">
        <x:f>IF($A109="","",MAX(0,MIN(Config!$B$13,N109)))</x:f>
      </x:c>
      <x:c r="P109" s="12">
        <x:f>IF($A109="","",O109/Config!$B$13)</x:f>
      </x:c>
      <x:c r="Q109" s="13">
        <x:f>IF($A109="","",IF(O109&gt;=Config!$B$14,"A",IF(O109&gt;=Config!$B$15,"B","C")))</x:f>
      </x:c>
      <x:c r="R109" s="13">
        <x:f>IF($A109="","",IF(O109&gt;=Config!$B$14,"Low",IF(O109&gt;=Config!$B$15,"Medium","High")))</x:f>
      </x:c>
      <x:c r="S109" s="13">
        <x:f>IF($A109="","",IF(F109="No","Mapear decisor e agendar reunião",IF(E109&gt;Config!$B$9,"Realizar follow-up estruturado",IF(R109="High","Reavaliar estratégia do deal","Avançar para próxima etapa"))))</x:f>
      </x:c>
      <x:c r="T109" s="13">
        <x:f>IF($A109="","","Score " &amp; O109 &amp; "/100; rating " &amp; Q109 &amp; "; friction " &amp; R109 &amp; ".")</x:f>
      </x:c>
    </x:row>
    <x:row r="110" ht="34" customHeight="1">
      <x:c r="A110" s="9" t="n"/>
      <x:c r="B110" s="9" t="n"/>
      <x:c r="C110" s="29" t="n"/>
      <x:c r="D110" s="9" t="n"/>
      <x:c r="E110" s="9" t="n"/>
      <x:c r="F110" s="9" t="n"/>
      <x:c r="G110" s="9" t="n"/>
      <x:c r="H110" s="30">
        <x:f>IF($A110="","",Config!$B$4)</x:f>
      </x:c>
      <x:c r="I110" s="30">
        <x:f>IF($A110="","",IF(C110&gt;Config!$B$5,Config!$B$6,0))</x:f>
      </x:c>
      <x:c r="J110" s="30">
        <x:f>IF($A110="","",IF(F110="Yes",Config!$B$7,0))</x:f>
      </x:c>
      <x:c r="K110" s="30">
        <x:f>IF($A110="","",IF(OR(D110="proposal",D110="negotiation"),Config!$B$8,0))</x:f>
      </x:c>
      <x:c r="L110" s="30">
        <x:f>IF($A110="","",IF(E110&gt;Config!$B$9,Config!$B$10,0))</x:f>
      </x:c>
      <x:c r="M110" s="30">
        <x:f>IF($A110="","",IF(G110&gt;=Config!$B$11,Config!$B$12,0))</x:f>
      </x:c>
      <x:c r="N110" s="30">
        <x:f>IF($A110="","",SUM(H110:M110))</x:f>
      </x:c>
      <x:c r="O110" s="30">
        <x:f>IF($A110="","",MAX(0,MIN(Config!$B$13,N110)))</x:f>
      </x:c>
      <x:c r="P110" s="12">
        <x:f>IF($A110="","",O110/Config!$B$13)</x:f>
      </x:c>
      <x:c r="Q110" s="13">
        <x:f>IF($A110="","",IF(O110&gt;=Config!$B$14,"A",IF(O110&gt;=Config!$B$15,"B","C")))</x:f>
      </x:c>
      <x:c r="R110" s="13">
        <x:f>IF($A110="","",IF(O110&gt;=Config!$B$14,"Low",IF(O110&gt;=Config!$B$15,"Medium","High")))</x:f>
      </x:c>
      <x:c r="S110" s="13">
        <x:f>IF($A110="","",IF(F110="No","Mapear decisor e agendar reunião",IF(E110&gt;Config!$B$9,"Realizar follow-up estruturado",IF(R110="High","Reavaliar estratégia do deal","Avançar para próxima etapa"))))</x:f>
      </x:c>
      <x:c r="T110" s="13">
        <x:f>IF($A110="","","Score " &amp; O110 &amp; "/100; rating " &amp; Q110 &amp; "; friction " &amp; R110 &amp; ".")</x:f>
      </x:c>
    </x:row>
    <x:row r="111" ht="34" customHeight="1">
      <x:c r="A111" s="9" t="n"/>
      <x:c r="B111" s="9" t="n"/>
      <x:c r="C111" s="29" t="n"/>
      <x:c r="D111" s="9" t="n"/>
      <x:c r="E111" s="9" t="n"/>
      <x:c r="F111" s="9" t="n"/>
      <x:c r="G111" s="9" t="n"/>
      <x:c r="H111" s="30">
        <x:f>IF($A111="","",Config!$B$4)</x:f>
      </x:c>
      <x:c r="I111" s="30">
        <x:f>IF($A111="","",IF(C111&gt;Config!$B$5,Config!$B$6,0))</x:f>
      </x:c>
      <x:c r="J111" s="30">
        <x:f>IF($A111="","",IF(F111="Yes",Config!$B$7,0))</x:f>
      </x:c>
      <x:c r="K111" s="30">
        <x:f>IF($A111="","",IF(OR(D111="proposal",D111="negotiation"),Config!$B$8,0))</x:f>
      </x:c>
      <x:c r="L111" s="30">
        <x:f>IF($A111="","",IF(E111&gt;Config!$B$9,Config!$B$10,0))</x:f>
      </x:c>
      <x:c r="M111" s="30">
        <x:f>IF($A111="","",IF(G111&gt;=Config!$B$11,Config!$B$12,0))</x:f>
      </x:c>
      <x:c r="N111" s="30">
        <x:f>IF($A111="","",SUM(H111:M111))</x:f>
      </x:c>
      <x:c r="O111" s="30">
        <x:f>IF($A111="","",MAX(0,MIN(Config!$B$13,N111)))</x:f>
      </x:c>
      <x:c r="P111" s="12">
        <x:f>IF($A111="","",O111/Config!$B$13)</x:f>
      </x:c>
      <x:c r="Q111" s="13">
        <x:f>IF($A111="","",IF(O111&gt;=Config!$B$14,"A",IF(O111&gt;=Config!$B$15,"B","C")))</x:f>
      </x:c>
      <x:c r="R111" s="13">
        <x:f>IF($A111="","",IF(O111&gt;=Config!$B$14,"Low",IF(O111&gt;=Config!$B$15,"Medium","High")))</x:f>
      </x:c>
      <x:c r="S111" s="13">
        <x:f>IF($A111="","",IF(F111="No","Mapear decisor e agendar reunião",IF(E111&gt;Config!$B$9,"Realizar follow-up estruturado",IF(R111="High","Reavaliar estratégia do deal","Avançar para próxima etapa"))))</x:f>
      </x:c>
      <x:c r="T111" s="13">
        <x:f>IF($A111="","","Score " &amp; O111 &amp; "/100; rating " &amp; Q111 &amp; "; friction " &amp; R111 &amp; ".")</x:f>
      </x:c>
    </x:row>
    <x:row r="112" ht="34" customHeight="1">
      <x:c r="A112" s="9" t="n"/>
      <x:c r="B112" s="9" t="n"/>
      <x:c r="C112" s="29" t="n"/>
      <x:c r="D112" s="9" t="n"/>
      <x:c r="E112" s="9" t="n"/>
      <x:c r="F112" s="9" t="n"/>
      <x:c r="G112" s="9" t="n"/>
      <x:c r="H112" s="30">
        <x:f>IF($A112="","",Config!$B$4)</x:f>
      </x:c>
      <x:c r="I112" s="30">
        <x:f>IF($A112="","",IF(C112&gt;Config!$B$5,Config!$B$6,0))</x:f>
      </x:c>
      <x:c r="J112" s="30">
        <x:f>IF($A112="","",IF(F112="Yes",Config!$B$7,0))</x:f>
      </x:c>
      <x:c r="K112" s="30">
        <x:f>IF($A112="","",IF(OR(D112="proposal",D112="negotiation"),Config!$B$8,0))</x:f>
      </x:c>
      <x:c r="L112" s="30">
        <x:f>IF($A112="","",IF(E112&gt;Config!$B$9,Config!$B$10,0))</x:f>
      </x:c>
      <x:c r="M112" s="30">
        <x:f>IF($A112="","",IF(G112&gt;=Config!$B$11,Config!$B$12,0))</x:f>
      </x:c>
      <x:c r="N112" s="30">
        <x:f>IF($A112="","",SUM(H112:M112))</x:f>
      </x:c>
      <x:c r="O112" s="30">
        <x:f>IF($A112="","",MAX(0,MIN(Config!$B$13,N112)))</x:f>
      </x:c>
      <x:c r="P112" s="12">
        <x:f>IF($A112="","",O112/Config!$B$13)</x:f>
      </x:c>
      <x:c r="Q112" s="13">
        <x:f>IF($A112="","",IF(O112&gt;=Config!$B$14,"A",IF(O112&gt;=Config!$B$15,"B","C")))</x:f>
      </x:c>
      <x:c r="R112" s="13">
        <x:f>IF($A112="","",IF(O112&gt;=Config!$B$14,"Low",IF(O112&gt;=Config!$B$15,"Medium","High")))</x:f>
      </x:c>
      <x:c r="S112" s="13">
        <x:f>IF($A112="","",IF(F112="No","Mapear decisor e agendar reunião",IF(E112&gt;Config!$B$9,"Realizar follow-up estruturado",IF(R112="High","Reavaliar estratégia do deal","Avançar para próxima etapa"))))</x:f>
      </x:c>
      <x:c r="T112" s="13">
        <x:f>IF($A112="","","Score " &amp; O112 &amp; "/100; rating " &amp; Q112 &amp; "; friction " &amp; R112 &amp; ".")</x:f>
      </x:c>
    </x:row>
    <x:row r="113" ht="34" customHeight="1">
      <x:c r="A113" s="9" t="n"/>
      <x:c r="B113" s="9" t="n"/>
      <x:c r="C113" s="29" t="n"/>
      <x:c r="D113" s="9" t="n"/>
      <x:c r="E113" s="9" t="n"/>
      <x:c r="F113" s="9" t="n"/>
      <x:c r="G113" s="9" t="n"/>
      <x:c r="H113" s="30">
        <x:f>IF($A113="","",Config!$B$4)</x:f>
      </x:c>
      <x:c r="I113" s="30">
        <x:f>IF($A113="","",IF(C113&gt;Config!$B$5,Config!$B$6,0))</x:f>
      </x:c>
      <x:c r="J113" s="30">
        <x:f>IF($A113="","",IF(F113="Yes",Config!$B$7,0))</x:f>
      </x:c>
      <x:c r="K113" s="30">
        <x:f>IF($A113="","",IF(OR(D113="proposal",D113="negotiation"),Config!$B$8,0))</x:f>
      </x:c>
      <x:c r="L113" s="30">
        <x:f>IF($A113="","",IF(E113&gt;Config!$B$9,Config!$B$10,0))</x:f>
      </x:c>
      <x:c r="M113" s="30">
        <x:f>IF($A113="","",IF(G113&gt;=Config!$B$11,Config!$B$12,0))</x:f>
      </x:c>
      <x:c r="N113" s="30">
        <x:f>IF($A113="","",SUM(H113:M113))</x:f>
      </x:c>
      <x:c r="O113" s="30">
        <x:f>IF($A113="","",MAX(0,MIN(Config!$B$13,N113)))</x:f>
      </x:c>
      <x:c r="P113" s="12">
        <x:f>IF($A113="","",O113/Config!$B$13)</x:f>
      </x:c>
      <x:c r="Q113" s="13">
        <x:f>IF($A113="","",IF(O113&gt;=Config!$B$14,"A",IF(O113&gt;=Config!$B$15,"B","C")))</x:f>
      </x:c>
      <x:c r="R113" s="13">
        <x:f>IF($A113="","",IF(O113&gt;=Config!$B$14,"Low",IF(O113&gt;=Config!$B$15,"Medium","High")))</x:f>
      </x:c>
      <x:c r="S113" s="13">
        <x:f>IF($A113="","",IF(F113="No","Mapear decisor e agendar reunião",IF(E113&gt;Config!$B$9,"Realizar follow-up estruturado",IF(R113="High","Reavaliar estratégia do deal","Avançar para próxima etapa"))))</x:f>
      </x:c>
      <x:c r="T113" s="13">
        <x:f>IF($A113="","","Score " &amp; O113 &amp; "/100; rating " &amp; Q113 &amp; "; friction " &amp; R113 &amp; ".")</x:f>
      </x:c>
    </x:row>
    <x:row r="114" ht="34" customHeight="1">
      <x:c r="A114" s="9" t="n"/>
      <x:c r="B114" s="9" t="n"/>
      <x:c r="C114" s="29" t="n"/>
      <x:c r="D114" s="9" t="n"/>
      <x:c r="E114" s="9" t="n"/>
      <x:c r="F114" s="9" t="n"/>
      <x:c r="G114" s="9" t="n"/>
      <x:c r="H114" s="30">
        <x:f>IF($A114="","",Config!$B$4)</x:f>
      </x:c>
      <x:c r="I114" s="30">
        <x:f>IF($A114="","",IF(C114&gt;Config!$B$5,Config!$B$6,0))</x:f>
      </x:c>
      <x:c r="J114" s="30">
        <x:f>IF($A114="","",IF(F114="Yes",Config!$B$7,0))</x:f>
      </x:c>
      <x:c r="K114" s="30">
        <x:f>IF($A114="","",IF(OR(D114="proposal",D114="negotiation"),Config!$B$8,0))</x:f>
      </x:c>
      <x:c r="L114" s="30">
        <x:f>IF($A114="","",IF(E114&gt;Config!$B$9,Config!$B$10,0))</x:f>
      </x:c>
      <x:c r="M114" s="30">
        <x:f>IF($A114="","",IF(G114&gt;=Config!$B$11,Config!$B$12,0))</x:f>
      </x:c>
      <x:c r="N114" s="30">
        <x:f>IF($A114="","",SUM(H114:M114))</x:f>
      </x:c>
      <x:c r="O114" s="30">
        <x:f>IF($A114="","",MAX(0,MIN(Config!$B$13,N114)))</x:f>
      </x:c>
      <x:c r="P114" s="12">
        <x:f>IF($A114="","",O114/Config!$B$13)</x:f>
      </x:c>
      <x:c r="Q114" s="13">
        <x:f>IF($A114="","",IF(O114&gt;=Config!$B$14,"A",IF(O114&gt;=Config!$B$15,"B","C")))</x:f>
      </x:c>
      <x:c r="R114" s="13">
        <x:f>IF($A114="","",IF(O114&gt;=Config!$B$14,"Low",IF(O114&gt;=Config!$B$15,"Medium","High")))</x:f>
      </x:c>
      <x:c r="S114" s="13">
        <x:f>IF($A114="","",IF(F114="No","Mapear decisor e agendar reunião",IF(E114&gt;Config!$B$9,"Realizar follow-up estruturado",IF(R114="High","Reavaliar estratégia do deal","Avançar para próxima etapa"))))</x:f>
      </x:c>
      <x:c r="T114" s="13">
        <x:f>IF($A114="","","Score " &amp; O114 &amp; "/100; rating " &amp; Q114 &amp; "; friction " &amp; R114 &amp; ".")</x:f>
      </x:c>
    </x:row>
    <x:row r="115" ht="34" customHeight="1">
      <x:c r="A115" s="9" t="n"/>
      <x:c r="B115" s="9" t="n"/>
      <x:c r="C115" s="29" t="n"/>
      <x:c r="D115" s="9" t="n"/>
      <x:c r="E115" s="9" t="n"/>
      <x:c r="F115" s="9" t="n"/>
      <x:c r="G115" s="9" t="n"/>
      <x:c r="H115" s="30">
        <x:f>IF($A115="","",Config!$B$4)</x:f>
      </x:c>
      <x:c r="I115" s="30">
        <x:f>IF($A115="","",IF(C115&gt;Config!$B$5,Config!$B$6,0))</x:f>
      </x:c>
      <x:c r="J115" s="30">
        <x:f>IF($A115="","",IF(F115="Yes",Config!$B$7,0))</x:f>
      </x:c>
      <x:c r="K115" s="30">
        <x:f>IF($A115="","",IF(OR(D115="proposal",D115="negotiation"),Config!$B$8,0))</x:f>
      </x:c>
      <x:c r="L115" s="30">
        <x:f>IF($A115="","",IF(E115&gt;Config!$B$9,Config!$B$10,0))</x:f>
      </x:c>
      <x:c r="M115" s="30">
        <x:f>IF($A115="","",IF(G115&gt;=Config!$B$11,Config!$B$12,0))</x:f>
      </x:c>
      <x:c r="N115" s="30">
        <x:f>IF($A115="","",SUM(H115:M115))</x:f>
      </x:c>
      <x:c r="O115" s="30">
        <x:f>IF($A115="","",MAX(0,MIN(Config!$B$13,N115)))</x:f>
      </x:c>
      <x:c r="P115" s="12">
        <x:f>IF($A115="","",O115/Config!$B$13)</x:f>
      </x:c>
      <x:c r="Q115" s="13">
        <x:f>IF($A115="","",IF(O115&gt;=Config!$B$14,"A",IF(O115&gt;=Config!$B$15,"B","C")))</x:f>
      </x:c>
      <x:c r="R115" s="13">
        <x:f>IF($A115="","",IF(O115&gt;=Config!$B$14,"Low",IF(O115&gt;=Config!$B$15,"Medium","High")))</x:f>
      </x:c>
      <x:c r="S115" s="13">
        <x:f>IF($A115="","",IF(F115="No","Mapear decisor e agendar reunião",IF(E115&gt;Config!$B$9,"Realizar follow-up estruturado",IF(R115="High","Reavaliar estratégia do deal","Avançar para próxima etapa"))))</x:f>
      </x:c>
      <x:c r="T115" s="13">
        <x:f>IF($A115="","","Score " &amp; O115 &amp; "/100; rating " &amp; Q115 &amp; "; friction " &amp; R115 &amp; ".")</x:f>
      </x:c>
    </x:row>
    <x:row r="116" ht="34" customHeight="1">
      <x:c r="A116" s="9" t="n"/>
      <x:c r="B116" s="9" t="n"/>
      <x:c r="C116" s="29" t="n"/>
      <x:c r="D116" s="9" t="n"/>
      <x:c r="E116" s="9" t="n"/>
      <x:c r="F116" s="9" t="n"/>
      <x:c r="G116" s="9" t="n"/>
      <x:c r="H116" s="30">
        <x:f>IF($A116="","",Config!$B$4)</x:f>
      </x:c>
      <x:c r="I116" s="30">
        <x:f>IF($A116="","",IF(C116&gt;Config!$B$5,Config!$B$6,0))</x:f>
      </x:c>
      <x:c r="J116" s="30">
        <x:f>IF($A116="","",IF(F116="Yes",Config!$B$7,0))</x:f>
      </x:c>
      <x:c r="K116" s="30">
        <x:f>IF($A116="","",IF(OR(D116="proposal",D116="negotiation"),Config!$B$8,0))</x:f>
      </x:c>
      <x:c r="L116" s="30">
        <x:f>IF($A116="","",IF(E116&gt;Config!$B$9,Config!$B$10,0))</x:f>
      </x:c>
      <x:c r="M116" s="30">
        <x:f>IF($A116="","",IF(G116&gt;=Config!$B$11,Config!$B$12,0))</x:f>
      </x:c>
      <x:c r="N116" s="30">
        <x:f>IF($A116="","",SUM(H116:M116))</x:f>
      </x:c>
      <x:c r="O116" s="30">
        <x:f>IF($A116="","",MAX(0,MIN(Config!$B$13,N116)))</x:f>
      </x:c>
      <x:c r="P116" s="12">
        <x:f>IF($A116="","",O116/Config!$B$13)</x:f>
      </x:c>
      <x:c r="Q116" s="13">
        <x:f>IF($A116="","",IF(O116&gt;=Config!$B$14,"A",IF(O116&gt;=Config!$B$15,"B","C")))</x:f>
      </x:c>
      <x:c r="R116" s="13">
        <x:f>IF($A116="","",IF(O116&gt;=Config!$B$14,"Low",IF(O116&gt;=Config!$B$15,"Medium","High")))</x:f>
      </x:c>
      <x:c r="S116" s="13">
        <x:f>IF($A116="","",IF(F116="No","Mapear decisor e agendar reunião",IF(E116&gt;Config!$B$9,"Realizar follow-up estruturado",IF(R116="High","Reavaliar estratégia do deal","Avançar para próxima etapa"))))</x:f>
      </x:c>
      <x:c r="T116" s="13">
        <x:f>IF($A116="","","Score " &amp; O116 &amp; "/100; rating " &amp; Q116 &amp; "; friction " &amp; R116 &amp; ".")</x:f>
      </x:c>
    </x:row>
    <x:row r="117" ht="34" customHeight="1">
      <x:c r="A117" s="9" t="n"/>
      <x:c r="B117" s="9" t="n"/>
      <x:c r="C117" s="29" t="n"/>
      <x:c r="D117" s="9" t="n"/>
      <x:c r="E117" s="9" t="n"/>
      <x:c r="F117" s="9" t="n"/>
      <x:c r="G117" s="9" t="n"/>
      <x:c r="H117" s="30">
        <x:f>IF($A117="","",Config!$B$4)</x:f>
      </x:c>
      <x:c r="I117" s="30">
        <x:f>IF($A117="","",IF(C117&gt;Config!$B$5,Config!$B$6,0))</x:f>
      </x:c>
      <x:c r="J117" s="30">
        <x:f>IF($A117="","",IF(F117="Yes",Config!$B$7,0))</x:f>
      </x:c>
      <x:c r="K117" s="30">
        <x:f>IF($A117="","",IF(OR(D117="proposal",D117="negotiation"),Config!$B$8,0))</x:f>
      </x:c>
      <x:c r="L117" s="30">
        <x:f>IF($A117="","",IF(E117&gt;Config!$B$9,Config!$B$10,0))</x:f>
      </x:c>
      <x:c r="M117" s="30">
        <x:f>IF($A117="","",IF(G117&gt;=Config!$B$11,Config!$B$12,0))</x:f>
      </x:c>
      <x:c r="N117" s="30">
        <x:f>IF($A117="","",SUM(H117:M117))</x:f>
      </x:c>
      <x:c r="O117" s="30">
        <x:f>IF($A117="","",MAX(0,MIN(Config!$B$13,N117)))</x:f>
      </x:c>
      <x:c r="P117" s="12">
        <x:f>IF($A117="","",O117/Config!$B$13)</x:f>
      </x:c>
      <x:c r="Q117" s="13">
        <x:f>IF($A117="","",IF(O117&gt;=Config!$B$14,"A",IF(O117&gt;=Config!$B$15,"B","C")))</x:f>
      </x:c>
      <x:c r="R117" s="13">
        <x:f>IF($A117="","",IF(O117&gt;=Config!$B$14,"Low",IF(O117&gt;=Config!$B$15,"Medium","High")))</x:f>
      </x:c>
      <x:c r="S117" s="13">
        <x:f>IF($A117="","",IF(F117="No","Mapear decisor e agendar reunião",IF(E117&gt;Config!$B$9,"Realizar follow-up estruturado",IF(R117="High","Reavaliar estratégia do deal","Avançar para próxima etapa"))))</x:f>
      </x:c>
      <x:c r="T117" s="13">
        <x:f>IF($A117="","","Score " &amp; O117 &amp; "/100; rating " &amp; Q117 &amp; "; friction " &amp; R117 &amp; ".")</x:f>
      </x:c>
    </x:row>
    <x:row r="118" ht="34" customHeight="1">
      <x:c r="A118" s="9" t="n"/>
      <x:c r="B118" s="9" t="n"/>
      <x:c r="C118" s="29" t="n"/>
      <x:c r="D118" s="9" t="n"/>
      <x:c r="E118" s="9" t="n"/>
      <x:c r="F118" s="9" t="n"/>
      <x:c r="G118" s="9" t="n"/>
      <x:c r="H118" s="30">
        <x:f>IF($A118="","",Config!$B$4)</x:f>
      </x:c>
      <x:c r="I118" s="30">
        <x:f>IF($A118="","",IF(C118&gt;Config!$B$5,Config!$B$6,0))</x:f>
      </x:c>
      <x:c r="J118" s="30">
        <x:f>IF($A118="","",IF(F118="Yes",Config!$B$7,0))</x:f>
      </x:c>
      <x:c r="K118" s="30">
        <x:f>IF($A118="","",IF(OR(D118="proposal",D118="negotiation"),Config!$B$8,0))</x:f>
      </x:c>
      <x:c r="L118" s="30">
        <x:f>IF($A118="","",IF(E118&gt;Config!$B$9,Config!$B$10,0))</x:f>
      </x:c>
      <x:c r="M118" s="30">
        <x:f>IF($A118="","",IF(G118&gt;=Config!$B$11,Config!$B$12,0))</x:f>
      </x:c>
      <x:c r="N118" s="30">
        <x:f>IF($A118="","",SUM(H118:M118))</x:f>
      </x:c>
      <x:c r="O118" s="30">
        <x:f>IF($A118="","",MAX(0,MIN(Config!$B$13,N118)))</x:f>
      </x:c>
      <x:c r="P118" s="12">
        <x:f>IF($A118="","",O118/Config!$B$13)</x:f>
      </x:c>
      <x:c r="Q118" s="13">
        <x:f>IF($A118="","",IF(O118&gt;=Config!$B$14,"A",IF(O118&gt;=Config!$B$15,"B","C")))</x:f>
      </x:c>
      <x:c r="R118" s="13">
        <x:f>IF($A118="","",IF(O118&gt;=Config!$B$14,"Low",IF(O118&gt;=Config!$B$15,"Medium","High")))</x:f>
      </x:c>
      <x:c r="S118" s="13">
        <x:f>IF($A118="","",IF(F118="No","Mapear decisor e agendar reunião",IF(E118&gt;Config!$B$9,"Realizar follow-up estruturado",IF(R118="High","Reavaliar estratégia do deal","Avançar para próxima etapa"))))</x:f>
      </x:c>
      <x:c r="T118" s="13">
        <x:f>IF($A118="","","Score " &amp; O118 &amp; "/100; rating " &amp; Q118 &amp; "; friction " &amp; R118 &amp; ".")</x:f>
      </x:c>
    </x:row>
    <x:row r="119" ht="34" customHeight="1">
      <x:c r="A119" s="9" t="n"/>
      <x:c r="B119" s="9" t="n"/>
      <x:c r="C119" s="29" t="n"/>
      <x:c r="D119" s="9" t="n"/>
      <x:c r="E119" s="9" t="n"/>
      <x:c r="F119" s="9" t="n"/>
      <x:c r="G119" s="9" t="n"/>
      <x:c r="H119" s="30">
        <x:f>IF($A119="","",Config!$B$4)</x:f>
      </x:c>
      <x:c r="I119" s="30">
        <x:f>IF($A119="","",IF(C119&gt;Config!$B$5,Config!$B$6,0))</x:f>
      </x:c>
      <x:c r="J119" s="30">
        <x:f>IF($A119="","",IF(F119="Yes",Config!$B$7,0))</x:f>
      </x:c>
      <x:c r="K119" s="30">
        <x:f>IF($A119="","",IF(OR(D119="proposal",D119="negotiation"),Config!$B$8,0))</x:f>
      </x:c>
      <x:c r="L119" s="30">
        <x:f>IF($A119="","",IF(E119&gt;Config!$B$9,Config!$B$10,0))</x:f>
      </x:c>
      <x:c r="M119" s="30">
        <x:f>IF($A119="","",IF(G119&gt;=Config!$B$11,Config!$B$12,0))</x:f>
      </x:c>
      <x:c r="N119" s="30">
        <x:f>IF($A119="","",SUM(H119:M119))</x:f>
      </x:c>
      <x:c r="O119" s="30">
        <x:f>IF($A119="","",MAX(0,MIN(Config!$B$13,N119)))</x:f>
      </x:c>
      <x:c r="P119" s="12">
        <x:f>IF($A119="","",O119/Config!$B$13)</x:f>
      </x:c>
      <x:c r="Q119" s="13">
        <x:f>IF($A119="","",IF(O119&gt;=Config!$B$14,"A",IF(O119&gt;=Config!$B$15,"B","C")))</x:f>
      </x:c>
      <x:c r="R119" s="13">
        <x:f>IF($A119="","",IF(O119&gt;=Config!$B$14,"Low",IF(O119&gt;=Config!$B$15,"Medium","High")))</x:f>
      </x:c>
      <x:c r="S119" s="13">
        <x:f>IF($A119="","",IF(F119="No","Mapear decisor e agendar reunião",IF(E119&gt;Config!$B$9,"Realizar follow-up estruturado",IF(R119="High","Reavaliar estratégia do deal","Avançar para próxima etapa"))))</x:f>
      </x:c>
      <x:c r="T119" s="13">
        <x:f>IF($A119="","","Score " &amp; O119 &amp; "/100; rating " &amp; Q119 &amp; "; friction " &amp; R119 &amp; ".")</x:f>
      </x:c>
    </x:row>
    <x:row r="120" ht="34" customHeight="1">
      <x:c r="A120" s="9" t="n"/>
      <x:c r="B120" s="9" t="n"/>
      <x:c r="C120" s="29" t="n"/>
      <x:c r="D120" s="9" t="n"/>
      <x:c r="E120" s="9" t="n"/>
      <x:c r="F120" s="9" t="n"/>
      <x:c r="G120" s="9" t="n"/>
      <x:c r="H120" s="30">
        <x:f>IF($A120="","",Config!$B$4)</x:f>
      </x:c>
      <x:c r="I120" s="30">
        <x:f>IF($A120="","",IF(C120&gt;Config!$B$5,Config!$B$6,0))</x:f>
      </x:c>
      <x:c r="J120" s="30">
        <x:f>IF($A120="","",IF(F120="Yes",Config!$B$7,0))</x:f>
      </x:c>
      <x:c r="K120" s="30">
        <x:f>IF($A120="","",IF(OR(D120="proposal",D120="negotiation"),Config!$B$8,0))</x:f>
      </x:c>
      <x:c r="L120" s="30">
        <x:f>IF($A120="","",IF(E120&gt;Config!$B$9,Config!$B$10,0))</x:f>
      </x:c>
      <x:c r="M120" s="30">
        <x:f>IF($A120="","",IF(G120&gt;=Config!$B$11,Config!$B$12,0))</x:f>
      </x:c>
      <x:c r="N120" s="30">
        <x:f>IF($A120="","",SUM(H120:M120))</x:f>
      </x:c>
      <x:c r="O120" s="30">
        <x:f>IF($A120="","",MAX(0,MIN(Config!$B$13,N120)))</x:f>
      </x:c>
      <x:c r="P120" s="12">
        <x:f>IF($A120="","",O120/Config!$B$13)</x:f>
      </x:c>
      <x:c r="Q120" s="13">
        <x:f>IF($A120="","",IF(O120&gt;=Config!$B$14,"A",IF(O120&gt;=Config!$B$15,"B","C")))</x:f>
      </x:c>
      <x:c r="R120" s="13">
        <x:f>IF($A120="","",IF(O120&gt;=Config!$B$14,"Low",IF(O120&gt;=Config!$B$15,"Medium","High")))</x:f>
      </x:c>
      <x:c r="S120" s="13">
        <x:f>IF($A120="","",IF(F120="No","Mapear decisor e agendar reunião",IF(E120&gt;Config!$B$9,"Realizar follow-up estruturado",IF(R120="High","Reavaliar estratégia do deal","Avançar para próxima etapa"))))</x:f>
      </x:c>
      <x:c r="T120" s="13">
        <x:f>IF($A120="","","Score " &amp; O120 &amp; "/100; rating " &amp; Q120 &amp; "; friction " &amp; R120 &amp; ".")</x:f>
      </x:c>
    </x:row>
    <x:row r="121" ht="34" customHeight="1">
      <x:c r="A121" s="9" t="n"/>
      <x:c r="B121" s="9" t="n"/>
      <x:c r="C121" s="29" t="n"/>
      <x:c r="D121" s="9" t="n"/>
      <x:c r="E121" s="9" t="n"/>
      <x:c r="F121" s="9" t="n"/>
      <x:c r="G121" s="9" t="n"/>
      <x:c r="H121" s="30">
        <x:f>IF($A121="","",Config!$B$4)</x:f>
      </x:c>
      <x:c r="I121" s="30">
        <x:f>IF($A121="","",IF(C121&gt;Config!$B$5,Config!$B$6,0))</x:f>
      </x:c>
      <x:c r="J121" s="30">
        <x:f>IF($A121="","",IF(F121="Yes",Config!$B$7,0))</x:f>
      </x:c>
      <x:c r="K121" s="30">
        <x:f>IF($A121="","",IF(OR(D121="proposal",D121="negotiation"),Config!$B$8,0))</x:f>
      </x:c>
      <x:c r="L121" s="30">
        <x:f>IF($A121="","",IF(E121&gt;Config!$B$9,Config!$B$10,0))</x:f>
      </x:c>
      <x:c r="M121" s="30">
        <x:f>IF($A121="","",IF(G121&gt;=Config!$B$11,Config!$B$12,0))</x:f>
      </x:c>
      <x:c r="N121" s="30">
        <x:f>IF($A121="","",SUM(H121:M121))</x:f>
      </x:c>
      <x:c r="O121" s="30">
        <x:f>IF($A121="","",MAX(0,MIN(Config!$B$13,N121)))</x:f>
      </x:c>
      <x:c r="P121" s="12">
        <x:f>IF($A121="","",O121/Config!$B$13)</x:f>
      </x:c>
      <x:c r="Q121" s="13">
        <x:f>IF($A121="","",IF(O121&gt;=Config!$B$14,"A",IF(O121&gt;=Config!$B$15,"B","C")))</x:f>
      </x:c>
      <x:c r="R121" s="13">
        <x:f>IF($A121="","",IF(O121&gt;=Config!$B$14,"Low",IF(O121&gt;=Config!$B$15,"Medium","High")))</x:f>
      </x:c>
      <x:c r="S121" s="13">
        <x:f>IF($A121="","",IF(F121="No","Mapear decisor e agendar reunião",IF(E121&gt;Config!$B$9,"Realizar follow-up estruturado",IF(R121="High","Reavaliar estratégia do deal","Avançar para próxima etapa"))))</x:f>
      </x:c>
      <x:c r="T121" s="13">
        <x:f>IF($A121="","","Score " &amp; O121 &amp; "/100; rating " &amp; Q121 &amp; "; friction " &amp; R121 &amp; ".")</x:f>
      </x:c>
    </x:row>
    <x:row r="122" ht="34" customHeight="1">
      <x:c r="A122" s="9" t="n"/>
      <x:c r="B122" s="9" t="n"/>
      <x:c r="C122" s="29" t="n"/>
      <x:c r="D122" s="9" t="n"/>
      <x:c r="E122" s="9" t="n"/>
      <x:c r="F122" s="9" t="n"/>
      <x:c r="G122" s="9" t="n"/>
      <x:c r="H122" s="30">
        <x:f>IF($A122="","",Config!$B$4)</x:f>
      </x:c>
      <x:c r="I122" s="30">
        <x:f>IF($A122="","",IF(C122&gt;Config!$B$5,Config!$B$6,0))</x:f>
      </x:c>
      <x:c r="J122" s="30">
        <x:f>IF($A122="","",IF(F122="Yes",Config!$B$7,0))</x:f>
      </x:c>
      <x:c r="K122" s="30">
        <x:f>IF($A122="","",IF(OR(D122="proposal",D122="negotiation"),Config!$B$8,0))</x:f>
      </x:c>
      <x:c r="L122" s="30">
        <x:f>IF($A122="","",IF(E122&gt;Config!$B$9,Config!$B$10,0))</x:f>
      </x:c>
      <x:c r="M122" s="30">
        <x:f>IF($A122="","",IF(G122&gt;=Config!$B$11,Config!$B$12,0))</x:f>
      </x:c>
      <x:c r="N122" s="30">
        <x:f>IF($A122="","",SUM(H122:M122))</x:f>
      </x:c>
      <x:c r="O122" s="30">
        <x:f>IF($A122="","",MAX(0,MIN(Config!$B$13,N122)))</x:f>
      </x:c>
      <x:c r="P122" s="12">
        <x:f>IF($A122="","",O122/Config!$B$13)</x:f>
      </x:c>
      <x:c r="Q122" s="13">
        <x:f>IF($A122="","",IF(O122&gt;=Config!$B$14,"A",IF(O122&gt;=Config!$B$15,"B","C")))</x:f>
      </x:c>
      <x:c r="R122" s="13">
        <x:f>IF($A122="","",IF(O122&gt;=Config!$B$14,"Low",IF(O122&gt;=Config!$B$15,"Medium","High")))</x:f>
      </x:c>
      <x:c r="S122" s="13">
        <x:f>IF($A122="","",IF(F122="No","Mapear decisor e agendar reunião",IF(E122&gt;Config!$B$9,"Realizar follow-up estruturado",IF(R122="High","Reavaliar estratégia do deal","Avançar para próxima etapa"))))</x:f>
      </x:c>
      <x:c r="T122" s="13">
        <x:f>IF($A122="","","Score " &amp; O122 &amp; "/100; rating " &amp; Q122 &amp; "; friction " &amp; R122 &amp; ".")</x:f>
      </x:c>
    </x:row>
    <x:row r="123" ht="34" customHeight="1">
      <x:c r="A123" s="9" t="n"/>
      <x:c r="B123" s="9" t="n"/>
      <x:c r="C123" s="29" t="n"/>
      <x:c r="D123" s="9" t="n"/>
      <x:c r="E123" s="9" t="n"/>
      <x:c r="F123" s="9" t="n"/>
      <x:c r="G123" s="9" t="n"/>
      <x:c r="H123" s="30">
        <x:f>IF($A123="","",Config!$B$4)</x:f>
      </x:c>
      <x:c r="I123" s="30">
        <x:f>IF($A123="","",IF(C123&gt;Config!$B$5,Config!$B$6,0))</x:f>
      </x:c>
      <x:c r="J123" s="30">
        <x:f>IF($A123="","",IF(F123="Yes",Config!$B$7,0))</x:f>
      </x:c>
      <x:c r="K123" s="30">
        <x:f>IF($A123="","",IF(OR(D123="proposal",D123="negotiation"),Config!$B$8,0))</x:f>
      </x:c>
      <x:c r="L123" s="30">
        <x:f>IF($A123="","",IF(E123&gt;Config!$B$9,Config!$B$10,0))</x:f>
      </x:c>
      <x:c r="M123" s="30">
        <x:f>IF($A123="","",IF(G123&gt;=Config!$B$11,Config!$B$12,0))</x:f>
      </x:c>
      <x:c r="N123" s="30">
        <x:f>IF($A123="","",SUM(H123:M123))</x:f>
      </x:c>
      <x:c r="O123" s="30">
        <x:f>IF($A123="","",MAX(0,MIN(Config!$B$13,N123)))</x:f>
      </x:c>
      <x:c r="P123" s="12">
        <x:f>IF($A123="","",O123/Config!$B$13)</x:f>
      </x:c>
      <x:c r="Q123" s="13">
        <x:f>IF($A123="","",IF(O123&gt;=Config!$B$14,"A",IF(O123&gt;=Config!$B$15,"B","C")))</x:f>
      </x:c>
      <x:c r="R123" s="13">
        <x:f>IF($A123="","",IF(O123&gt;=Config!$B$14,"Low",IF(O123&gt;=Config!$B$15,"Medium","High")))</x:f>
      </x:c>
      <x:c r="S123" s="13">
        <x:f>IF($A123="","",IF(F123="No","Mapear decisor e agendar reunião",IF(E123&gt;Config!$B$9,"Realizar follow-up estruturado",IF(R123="High","Reavaliar estratégia do deal","Avançar para próxima etapa"))))</x:f>
      </x:c>
      <x:c r="T123" s="13">
        <x:f>IF($A123="","","Score " &amp; O123 &amp; "/100; rating " &amp; Q123 &amp; "; friction " &amp; R123 &amp; ".")</x:f>
      </x:c>
    </x:row>
    <x:row r="124" ht="34" customHeight="1">
      <x:c r="A124" s="9" t="n"/>
      <x:c r="B124" s="9" t="n"/>
      <x:c r="C124" s="29" t="n"/>
      <x:c r="D124" s="9" t="n"/>
      <x:c r="E124" s="9" t="n"/>
      <x:c r="F124" s="9" t="n"/>
      <x:c r="G124" s="9" t="n"/>
      <x:c r="H124" s="30">
        <x:f>IF($A124="","",Config!$B$4)</x:f>
      </x:c>
      <x:c r="I124" s="30">
        <x:f>IF($A124="","",IF(C124&gt;Config!$B$5,Config!$B$6,0))</x:f>
      </x:c>
      <x:c r="J124" s="30">
        <x:f>IF($A124="","",IF(F124="Yes",Config!$B$7,0))</x:f>
      </x:c>
      <x:c r="K124" s="30">
        <x:f>IF($A124="","",IF(OR(D124="proposal",D124="negotiation"),Config!$B$8,0))</x:f>
      </x:c>
      <x:c r="L124" s="30">
        <x:f>IF($A124="","",IF(E124&gt;Config!$B$9,Config!$B$10,0))</x:f>
      </x:c>
      <x:c r="M124" s="30">
        <x:f>IF($A124="","",IF(G124&gt;=Config!$B$11,Config!$B$12,0))</x:f>
      </x:c>
      <x:c r="N124" s="30">
        <x:f>IF($A124="","",SUM(H124:M124))</x:f>
      </x:c>
      <x:c r="O124" s="30">
        <x:f>IF($A124="","",MAX(0,MIN(Config!$B$13,N124)))</x:f>
      </x:c>
      <x:c r="P124" s="12">
        <x:f>IF($A124="","",O124/Config!$B$13)</x:f>
      </x:c>
      <x:c r="Q124" s="13">
        <x:f>IF($A124="","",IF(O124&gt;=Config!$B$14,"A",IF(O124&gt;=Config!$B$15,"B","C")))</x:f>
      </x:c>
      <x:c r="R124" s="13">
        <x:f>IF($A124="","",IF(O124&gt;=Config!$B$14,"Low",IF(O124&gt;=Config!$B$15,"Medium","High")))</x:f>
      </x:c>
      <x:c r="S124" s="13">
        <x:f>IF($A124="","",IF(F124="No","Mapear decisor e agendar reunião",IF(E124&gt;Config!$B$9,"Realizar follow-up estruturado",IF(R124="High","Reavaliar estratégia do deal","Avançar para próxima etapa"))))</x:f>
      </x:c>
      <x:c r="T124" s="13">
        <x:f>IF($A124="","","Score " &amp; O124 &amp; "/100; rating " &amp; Q124 &amp; "; friction " &amp; R124 &amp; ".")</x:f>
      </x:c>
    </x:row>
    <x:row r="125" ht="34" customHeight="1">
      <x:c r="A125" s="9" t="n"/>
      <x:c r="B125" s="9" t="n"/>
      <x:c r="C125" s="29" t="n"/>
      <x:c r="D125" s="9" t="n"/>
      <x:c r="E125" s="9" t="n"/>
      <x:c r="F125" s="9" t="n"/>
      <x:c r="G125" s="9" t="n"/>
      <x:c r="H125" s="30">
        <x:f>IF($A125="","",Config!$B$4)</x:f>
      </x:c>
      <x:c r="I125" s="30">
        <x:f>IF($A125="","",IF(C125&gt;Config!$B$5,Config!$B$6,0))</x:f>
      </x:c>
      <x:c r="J125" s="30">
        <x:f>IF($A125="","",IF(F125="Yes",Config!$B$7,0))</x:f>
      </x:c>
      <x:c r="K125" s="30">
        <x:f>IF($A125="","",IF(OR(D125="proposal",D125="negotiation"),Config!$B$8,0))</x:f>
      </x:c>
      <x:c r="L125" s="30">
        <x:f>IF($A125="","",IF(E125&gt;Config!$B$9,Config!$B$10,0))</x:f>
      </x:c>
      <x:c r="M125" s="30">
        <x:f>IF($A125="","",IF(G125&gt;=Config!$B$11,Config!$B$12,0))</x:f>
      </x:c>
      <x:c r="N125" s="30">
        <x:f>IF($A125="","",SUM(H125:M125))</x:f>
      </x:c>
      <x:c r="O125" s="30">
        <x:f>IF($A125="","",MAX(0,MIN(Config!$B$13,N125)))</x:f>
      </x:c>
      <x:c r="P125" s="12">
        <x:f>IF($A125="","",O125/Config!$B$13)</x:f>
      </x:c>
      <x:c r="Q125" s="13">
        <x:f>IF($A125="","",IF(O125&gt;=Config!$B$14,"A",IF(O125&gt;=Config!$B$15,"B","C")))</x:f>
      </x:c>
      <x:c r="R125" s="13">
        <x:f>IF($A125="","",IF(O125&gt;=Config!$B$14,"Low",IF(O125&gt;=Config!$B$15,"Medium","High")))</x:f>
      </x:c>
      <x:c r="S125" s="13">
        <x:f>IF($A125="","",IF(F125="No","Mapear decisor e agendar reunião",IF(E125&gt;Config!$B$9,"Realizar follow-up estruturado",IF(R125="High","Reavaliar estratégia do deal","Avançar para próxima etapa"))))</x:f>
      </x:c>
      <x:c r="T125" s="13">
        <x:f>IF($A125="","","Score " &amp; O125 &amp; "/100; rating " &amp; Q125 &amp; "; friction " &amp; R125 &amp; ".")</x:f>
      </x:c>
    </x:row>
    <x:row r="126" ht="34" customHeight="1">
      <x:c r="A126" s="9" t="n"/>
      <x:c r="B126" s="9" t="n"/>
      <x:c r="C126" s="29" t="n"/>
      <x:c r="D126" s="9" t="n"/>
      <x:c r="E126" s="9" t="n"/>
      <x:c r="F126" s="9" t="n"/>
      <x:c r="G126" s="9" t="n"/>
      <x:c r="H126" s="30">
        <x:f>IF($A126="","",Config!$B$4)</x:f>
      </x:c>
      <x:c r="I126" s="30">
        <x:f>IF($A126="","",IF(C126&gt;Config!$B$5,Config!$B$6,0))</x:f>
      </x:c>
      <x:c r="J126" s="30">
        <x:f>IF($A126="","",IF(F126="Yes",Config!$B$7,0))</x:f>
      </x:c>
      <x:c r="K126" s="30">
        <x:f>IF($A126="","",IF(OR(D126="proposal",D126="negotiation"),Config!$B$8,0))</x:f>
      </x:c>
      <x:c r="L126" s="30">
        <x:f>IF($A126="","",IF(E126&gt;Config!$B$9,Config!$B$10,0))</x:f>
      </x:c>
      <x:c r="M126" s="30">
        <x:f>IF($A126="","",IF(G126&gt;=Config!$B$11,Config!$B$12,0))</x:f>
      </x:c>
      <x:c r="N126" s="30">
        <x:f>IF($A126="","",SUM(H126:M126))</x:f>
      </x:c>
      <x:c r="O126" s="30">
        <x:f>IF($A126="","",MAX(0,MIN(Config!$B$13,N126)))</x:f>
      </x:c>
      <x:c r="P126" s="12">
        <x:f>IF($A126="","",O126/Config!$B$13)</x:f>
      </x:c>
      <x:c r="Q126" s="13">
        <x:f>IF($A126="","",IF(O126&gt;=Config!$B$14,"A",IF(O126&gt;=Config!$B$15,"B","C")))</x:f>
      </x:c>
      <x:c r="R126" s="13">
        <x:f>IF($A126="","",IF(O126&gt;=Config!$B$14,"Low",IF(O126&gt;=Config!$B$15,"Medium","High")))</x:f>
      </x:c>
      <x:c r="S126" s="13">
        <x:f>IF($A126="","",IF(F126="No","Mapear decisor e agendar reunião",IF(E126&gt;Config!$B$9,"Realizar follow-up estruturado",IF(R126="High","Reavaliar estratégia do deal","Avançar para próxima etapa"))))</x:f>
      </x:c>
      <x:c r="T126" s="13">
        <x:f>IF($A126="","","Score " &amp; O126 &amp; "/100; rating " &amp; Q126 &amp; "; friction " &amp; R126 &amp; ".")</x:f>
      </x:c>
    </x:row>
    <x:row r="127" ht="34" customHeight="1">
      <x:c r="A127" s="9" t="n"/>
      <x:c r="B127" s="9" t="n"/>
      <x:c r="C127" s="29" t="n"/>
      <x:c r="D127" s="9" t="n"/>
      <x:c r="E127" s="9" t="n"/>
      <x:c r="F127" s="9" t="n"/>
      <x:c r="G127" s="9" t="n"/>
      <x:c r="H127" s="30">
        <x:f>IF($A127="","",Config!$B$4)</x:f>
      </x:c>
      <x:c r="I127" s="30">
        <x:f>IF($A127="","",IF(C127&gt;Config!$B$5,Config!$B$6,0))</x:f>
      </x:c>
      <x:c r="J127" s="30">
        <x:f>IF($A127="","",IF(F127="Yes",Config!$B$7,0))</x:f>
      </x:c>
      <x:c r="K127" s="30">
        <x:f>IF($A127="","",IF(OR(D127="proposal",D127="negotiation"),Config!$B$8,0))</x:f>
      </x:c>
      <x:c r="L127" s="30">
        <x:f>IF($A127="","",IF(E127&gt;Config!$B$9,Config!$B$10,0))</x:f>
      </x:c>
      <x:c r="M127" s="30">
        <x:f>IF($A127="","",IF(G127&gt;=Config!$B$11,Config!$B$12,0))</x:f>
      </x:c>
      <x:c r="N127" s="30">
        <x:f>IF($A127="","",SUM(H127:M127))</x:f>
      </x:c>
      <x:c r="O127" s="30">
        <x:f>IF($A127="","",MAX(0,MIN(Config!$B$13,N127)))</x:f>
      </x:c>
      <x:c r="P127" s="12">
        <x:f>IF($A127="","",O127/Config!$B$13)</x:f>
      </x:c>
      <x:c r="Q127" s="13">
        <x:f>IF($A127="","",IF(O127&gt;=Config!$B$14,"A",IF(O127&gt;=Config!$B$15,"B","C")))</x:f>
      </x:c>
      <x:c r="R127" s="13">
        <x:f>IF($A127="","",IF(O127&gt;=Config!$B$14,"Low",IF(O127&gt;=Config!$B$15,"Medium","High")))</x:f>
      </x:c>
      <x:c r="S127" s="13">
        <x:f>IF($A127="","",IF(F127="No","Mapear decisor e agendar reunião",IF(E127&gt;Config!$B$9,"Realizar follow-up estruturado",IF(R127="High","Reavaliar estratégia do deal","Avançar para próxima etapa"))))</x:f>
      </x:c>
      <x:c r="T127" s="13">
        <x:f>IF($A127="","","Score " &amp; O127 &amp; "/100; rating " &amp; Q127 &amp; "; friction " &amp; R127 &amp; ".")</x:f>
      </x:c>
    </x:row>
    <x:row r="128" ht="34" customHeight="1">
      <x:c r="A128" s="9" t="n"/>
      <x:c r="B128" s="9" t="n"/>
      <x:c r="C128" s="29" t="n"/>
      <x:c r="D128" s="9" t="n"/>
      <x:c r="E128" s="9" t="n"/>
      <x:c r="F128" s="9" t="n"/>
      <x:c r="G128" s="9" t="n"/>
      <x:c r="H128" s="30">
        <x:f>IF($A128="","",Config!$B$4)</x:f>
      </x:c>
      <x:c r="I128" s="30">
        <x:f>IF($A128="","",IF(C128&gt;Config!$B$5,Config!$B$6,0))</x:f>
      </x:c>
      <x:c r="J128" s="30">
        <x:f>IF($A128="","",IF(F128="Yes",Config!$B$7,0))</x:f>
      </x:c>
      <x:c r="K128" s="30">
        <x:f>IF($A128="","",IF(OR(D128="proposal",D128="negotiation"),Config!$B$8,0))</x:f>
      </x:c>
      <x:c r="L128" s="30">
        <x:f>IF($A128="","",IF(E128&gt;Config!$B$9,Config!$B$10,0))</x:f>
      </x:c>
      <x:c r="M128" s="30">
        <x:f>IF($A128="","",IF(G128&gt;=Config!$B$11,Config!$B$12,0))</x:f>
      </x:c>
      <x:c r="N128" s="30">
        <x:f>IF($A128="","",SUM(H128:M128))</x:f>
      </x:c>
      <x:c r="O128" s="30">
        <x:f>IF($A128="","",MAX(0,MIN(Config!$B$13,N128)))</x:f>
      </x:c>
      <x:c r="P128" s="12">
        <x:f>IF($A128="","",O128/Config!$B$13)</x:f>
      </x:c>
      <x:c r="Q128" s="13">
        <x:f>IF($A128="","",IF(O128&gt;=Config!$B$14,"A",IF(O128&gt;=Config!$B$15,"B","C")))</x:f>
      </x:c>
      <x:c r="R128" s="13">
        <x:f>IF($A128="","",IF(O128&gt;=Config!$B$14,"Low",IF(O128&gt;=Config!$B$15,"Medium","High")))</x:f>
      </x:c>
      <x:c r="S128" s="13">
        <x:f>IF($A128="","",IF(F128="No","Mapear decisor e agendar reunião",IF(E128&gt;Config!$B$9,"Realizar follow-up estruturado",IF(R128="High","Reavaliar estratégia do deal","Avançar para próxima etapa"))))</x:f>
      </x:c>
      <x:c r="T128" s="13">
        <x:f>IF($A128="","","Score " &amp; O128 &amp; "/100; rating " &amp; Q128 &amp; "; friction " &amp; R128 &amp; ".")</x:f>
      </x:c>
    </x:row>
    <x:row r="129" ht="34" customHeight="1">
      <x:c r="A129" s="9" t="n"/>
      <x:c r="B129" s="9" t="n"/>
      <x:c r="C129" s="29" t="n"/>
      <x:c r="D129" s="9" t="n"/>
      <x:c r="E129" s="9" t="n"/>
      <x:c r="F129" s="9" t="n"/>
      <x:c r="G129" s="9" t="n"/>
      <x:c r="H129" s="30">
        <x:f>IF($A129="","",Config!$B$4)</x:f>
      </x:c>
      <x:c r="I129" s="30">
        <x:f>IF($A129="","",IF(C129&gt;Config!$B$5,Config!$B$6,0))</x:f>
      </x:c>
      <x:c r="J129" s="30">
        <x:f>IF($A129="","",IF(F129="Yes",Config!$B$7,0))</x:f>
      </x:c>
      <x:c r="K129" s="30">
        <x:f>IF($A129="","",IF(OR(D129="proposal",D129="negotiation"),Config!$B$8,0))</x:f>
      </x:c>
      <x:c r="L129" s="30">
        <x:f>IF($A129="","",IF(E129&gt;Config!$B$9,Config!$B$10,0))</x:f>
      </x:c>
      <x:c r="M129" s="30">
        <x:f>IF($A129="","",IF(G129&gt;=Config!$B$11,Config!$B$12,0))</x:f>
      </x:c>
      <x:c r="N129" s="30">
        <x:f>IF($A129="","",SUM(H129:M129))</x:f>
      </x:c>
      <x:c r="O129" s="30">
        <x:f>IF($A129="","",MAX(0,MIN(Config!$B$13,N129)))</x:f>
      </x:c>
      <x:c r="P129" s="12">
        <x:f>IF($A129="","",O129/Config!$B$13)</x:f>
      </x:c>
      <x:c r="Q129" s="13">
        <x:f>IF($A129="","",IF(O129&gt;=Config!$B$14,"A",IF(O129&gt;=Config!$B$15,"B","C")))</x:f>
      </x:c>
      <x:c r="R129" s="13">
        <x:f>IF($A129="","",IF(O129&gt;=Config!$B$14,"Low",IF(O129&gt;=Config!$B$15,"Medium","High")))</x:f>
      </x:c>
      <x:c r="S129" s="13">
        <x:f>IF($A129="","",IF(F129="No","Mapear decisor e agendar reunião",IF(E129&gt;Config!$B$9,"Realizar follow-up estruturado",IF(R129="High","Reavaliar estratégia do deal","Avançar para próxima etapa"))))</x:f>
      </x:c>
      <x:c r="T129" s="13">
        <x:f>IF($A129="","","Score " &amp; O129 &amp; "/100; rating " &amp; Q129 &amp; "; friction " &amp; R129 &amp; ".")</x:f>
      </x:c>
    </x:row>
    <x:row r="130" ht="34" customHeight="1">
      <x:c r="A130" s="9" t="n"/>
      <x:c r="B130" s="9" t="n"/>
      <x:c r="C130" s="29" t="n"/>
      <x:c r="D130" s="9" t="n"/>
      <x:c r="E130" s="9" t="n"/>
      <x:c r="F130" s="9" t="n"/>
      <x:c r="G130" s="9" t="n"/>
      <x:c r="H130" s="30">
        <x:f>IF($A130="","",Config!$B$4)</x:f>
      </x:c>
      <x:c r="I130" s="30">
        <x:f>IF($A130="","",IF(C130&gt;Config!$B$5,Config!$B$6,0))</x:f>
      </x:c>
      <x:c r="J130" s="30">
        <x:f>IF($A130="","",IF(F130="Yes",Config!$B$7,0))</x:f>
      </x:c>
      <x:c r="K130" s="30">
        <x:f>IF($A130="","",IF(OR(D130="proposal",D130="negotiation"),Config!$B$8,0))</x:f>
      </x:c>
      <x:c r="L130" s="30">
        <x:f>IF($A130="","",IF(E130&gt;Config!$B$9,Config!$B$10,0))</x:f>
      </x:c>
      <x:c r="M130" s="30">
        <x:f>IF($A130="","",IF(G130&gt;=Config!$B$11,Config!$B$12,0))</x:f>
      </x:c>
      <x:c r="N130" s="30">
        <x:f>IF($A130="","",SUM(H130:M130))</x:f>
      </x:c>
      <x:c r="O130" s="30">
        <x:f>IF($A130="","",MAX(0,MIN(Config!$B$13,N130)))</x:f>
      </x:c>
      <x:c r="P130" s="12">
        <x:f>IF($A130="","",O130/Config!$B$13)</x:f>
      </x:c>
      <x:c r="Q130" s="13">
        <x:f>IF($A130="","",IF(O130&gt;=Config!$B$14,"A",IF(O130&gt;=Config!$B$15,"B","C")))</x:f>
      </x:c>
      <x:c r="R130" s="13">
        <x:f>IF($A130="","",IF(O130&gt;=Config!$B$14,"Low",IF(O130&gt;=Config!$B$15,"Medium","High")))</x:f>
      </x:c>
      <x:c r="S130" s="13">
        <x:f>IF($A130="","",IF(F130="No","Mapear decisor e agendar reunião",IF(E130&gt;Config!$B$9,"Realizar follow-up estruturado",IF(R130="High","Reavaliar estratégia do deal","Avançar para próxima etapa"))))</x:f>
      </x:c>
      <x:c r="T130" s="13">
        <x:f>IF($A130="","","Score " &amp; O130 &amp; "/100; rating " &amp; Q130 &amp; "; friction " &amp; R130 &amp; ".")</x:f>
      </x:c>
    </x:row>
    <x:row r="131" ht="34" customHeight="1">
      <x:c r="A131" s="9" t="n"/>
      <x:c r="B131" s="9" t="n"/>
      <x:c r="C131" s="29" t="n"/>
      <x:c r="D131" s="9" t="n"/>
      <x:c r="E131" s="9" t="n"/>
      <x:c r="F131" s="9" t="n"/>
      <x:c r="G131" s="9" t="n"/>
      <x:c r="H131" s="30">
        <x:f>IF($A131="","",Config!$B$4)</x:f>
      </x:c>
      <x:c r="I131" s="30">
        <x:f>IF($A131="","",IF(C131&gt;Config!$B$5,Config!$B$6,0))</x:f>
      </x:c>
      <x:c r="J131" s="30">
        <x:f>IF($A131="","",IF(F131="Yes",Config!$B$7,0))</x:f>
      </x:c>
      <x:c r="K131" s="30">
        <x:f>IF($A131="","",IF(OR(D131="proposal",D131="negotiation"),Config!$B$8,0))</x:f>
      </x:c>
      <x:c r="L131" s="30">
        <x:f>IF($A131="","",IF(E131&gt;Config!$B$9,Config!$B$10,0))</x:f>
      </x:c>
      <x:c r="M131" s="30">
        <x:f>IF($A131="","",IF(G131&gt;=Config!$B$11,Config!$B$12,0))</x:f>
      </x:c>
      <x:c r="N131" s="30">
        <x:f>IF($A131="","",SUM(H131:M131))</x:f>
      </x:c>
      <x:c r="O131" s="30">
        <x:f>IF($A131="","",MAX(0,MIN(Config!$B$13,N131)))</x:f>
      </x:c>
      <x:c r="P131" s="12">
        <x:f>IF($A131="","",O131/Config!$B$13)</x:f>
      </x:c>
      <x:c r="Q131" s="13">
        <x:f>IF($A131="","",IF(O131&gt;=Config!$B$14,"A",IF(O131&gt;=Config!$B$15,"B","C")))</x:f>
      </x:c>
      <x:c r="R131" s="13">
        <x:f>IF($A131="","",IF(O131&gt;=Config!$B$14,"Low",IF(O131&gt;=Config!$B$15,"Medium","High")))</x:f>
      </x:c>
      <x:c r="S131" s="13">
        <x:f>IF($A131="","",IF(F131="No","Mapear decisor e agendar reunião",IF(E131&gt;Config!$B$9,"Realizar follow-up estruturado",IF(R131="High","Reavaliar estratégia do deal","Avançar para próxima etapa"))))</x:f>
      </x:c>
      <x:c r="T131" s="13">
        <x:f>IF($A131="","","Score " &amp; O131 &amp; "/100; rating " &amp; Q131 &amp; "; friction " &amp; R131 &amp; ".")</x:f>
      </x:c>
    </x:row>
    <x:row r="132" ht="34" customHeight="1">
      <x:c r="A132" s="9" t="n"/>
      <x:c r="B132" s="9" t="n"/>
      <x:c r="C132" s="29" t="n"/>
      <x:c r="D132" s="9" t="n"/>
      <x:c r="E132" s="9" t="n"/>
      <x:c r="F132" s="9" t="n"/>
      <x:c r="G132" s="9" t="n"/>
      <x:c r="H132" s="30">
        <x:f>IF($A132="","",Config!$B$4)</x:f>
      </x:c>
      <x:c r="I132" s="30">
        <x:f>IF($A132="","",IF(C132&gt;Config!$B$5,Config!$B$6,0))</x:f>
      </x:c>
      <x:c r="J132" s="30">
        <x:f>IF($A132="","",IF(F132="Yes",Config!$B$7,0))</x:f>
      </x:c>
      <x:c r="K132" s="30">
        <x:f>IF($A132="","",IF(OR(D132="proposal",D132="negotiation"),Config!$B$8,0))</x:f>
      </x:c>
      <x:c r="L132" s="30">
        <x:f>IF($A132="","",IF(E132&gt;Config!$B$9,Config!$B$10,0))</x:f>
      </x:c>
      <x:c r="M132" s="30">
        <x:f>IF($A132="","",IF(G132&gt;=Config!$B$11,Config!$B$12,0))</x:f>
      </x:c>
      <x:c r="N132" s="30">
        <x:f>IF($A132="","",SUM(H132:M132))</x:f>
      </x:c>
      <x:c r="O132" s="30">
        <x:f>IF($A132="","",MAX(0,MIN(Config!$B$13,N132)))</x:f>
      </x:c>
      <x:c r="P132" s="12">
        <x:f>IF($A132="","",O132/Config!$B$13)</x:f>
      </x:c>
      <x:c r="Q132" s="13">
        <x:f>IF($A132="","",IF(O132&gt;=Config!$B$14,"A",IF(O132&gt;=Config!$B$15,"B","C")))</x:f>
      </x:c>
      <x:c r="R132" s="13">
        <x:f>IF($A132="","",IF(O132&gt;=Config!$B$14,"Low",IF(O132&gt;=Config!$B$15,"Medium","High")))</x:f>
      </x:c>
      <x:c r="S132" s="13">
        <x:f>IF($A132="","",IF(F132="No","Mapear decisor e agendar reunião",IF(E132&gt;Config!$B$9,"Realizar follow-up estruturado",IF(R132="High","Reavaliar estratégia do deal","Avançar para próxima etapa"))))</x:f>
      </x:c>
      <x:c r="T132" s="13">
        <x:f>IF($A132="","","Score " &amp; O132 &amp; "/100; rating " &amp; Q132 &amp; "; friction " &amp; R132 &amp; ".")</x:f>
      </x:c>
    </x:row>
    <x:row r="133" ht="34" customHeight="1">
      <x:c r="A133" s="9" t="n"/>
      <x:c r="B133" s="9" t="n"/>
      <x:c r="C133" s="29" t="n"/>
      <x:c r="D133" s="9" t="n"/>
      <x:c r="E133" s="9" t="n"/>
      <x:c r="F133" s="9" t="n"/>
      <x:c r="G133" s="9" t="n"/>
      <x:c r="H133" s="30">
        <x:f>IF($A133="","",Config!$B$4)</x:f>
      </x:c>
      <x:c r="I133" s="30">
        <x:f>IF($A133="","",IF(C133&gt;Config!$B$5,Config!$B$6,0))</x:f>
      </x:c>
      <x:c r="J133" s="30">
        <x:f>IF($A133="","",IF(F133="Yes",Config!$B$7,0))</x:f>
      </x:c>
      <x:c r="K133" s="30">
        <x:f>IF($A133="","",IF(OR(D133="proposal",D133="negotiation"),Config!$B$8,0))</x:f>
      </x:c>
      <x:c r="L133" s="30">
        <x:f>IF($A133="","",IF(E133&gt;Config!$B$9,Config!$B$10,0))</x:f>
      </x:c>
      <x:c r="M133" s="30">
        <x:f>IF($A133="","",IF(G133&gt;=Config!$B$11,Config!$B$12,0))</x:f>
      </x:c>
      <x:c r="N133" s="30">
        <x:f>IF($A133="","",SUM(H133:M133))</x:f>
      </x:c>
      <x:c r="O133" s="30">
        <x:f>IF($A133="","",MAX(0,MIN(Config!$B$13,N133)))</x:f>
      </x:c>
      <x:c r="P133" s="12">
        <x:f>IF($A133="","",O133/Config!$B$13)</x:f>
      </x:c>
      <x:c r="Q133" s="13">
        <x:f>IF($A133="","",IF(O133&gt;=Config!$B$14,"A",IF(O133&gt;=Config!$B$15,"B","C")))</x:f>
      </x:c>
      <x:c r="R133" s="13">
        <x:f>IF($A133="","",IF(O133&gt;=Config!$B$14,"Low",IF(O133&gt;=Config!$B$15,"Medium","High")))</x:f>
      </x:c>
      <x:c r="S133" s="13">
        <x:f>IF($A133="","",IF(F133="No","Mapear decisor e agendar reunião",IF(E133&gt;Config!$B$9,"Realizar follow-up estruturado",IF(R133="High","Reavaliar estratégia do deal","Avançar para próxima etapa"))))</x:f>
      </x:c>
      <x:c r="T133" s="13">
        <x:f>IF($A133="","","Score " &amp; O133 &amp; "/100; rating " &amp; Q133 &amp; "; friction " &amp; R133 &amp; ".")</x:f>
      </x:c>
    </x:row>
    <x:row r="134" ht="34" customHeight="1">
      <x:c r="A134" s="9" t="n"/>
      <x:c r="B134" s="9" t="n"/>
      <x:c r="C134" s="29" t="n"/>
      <x:c r="D134" s="9" t="n"/>
      <x:c r="E134" s="9" t="n"/>
      <x:c r="F134" s="9" t="n"/>
      <x:c r="G134" s="9" t="n"/>
      <x:c r="H134" s="30">
        <x:f>IF($A134="","",Config!$B$4)</x:f>
      </x:c>
      <x:c r="I134" s="30">
        <x:f>IF($A134="","",IF(C134&gt;Config!$B$5,Config!$B$6,0))</x:f>
      </x:c>
      <x:c r="J134" s="30">
        <x:f>IF($A134="","",IF(F134="Yes",Config!$B$7,0))</x:f>
      </x:c>
      <x:c r="K134" s="30">
        <x:f>IF($A134="","",IF(OR(D134="proposal",D134="negotiation"),Config!$B$8,0))</x:f>
      </x:c>
      <x:c r="L134" s="30">
        <x:f>IF($A134="","",IF(E134&gt;Config!$B$9,Config!$B$10,0))</x:f>
      </x:c>
      <x:c r="M134" s="30">
        <x:f>IF($A134="","",IF(G134&gt;=Config!$B$11,Config!$B$12,0))</x:f>
      </x:c>
      <x:c r="N134" s="30">
        <x:f>IF($A134="","",SUM(H134:M134))</x:f>
      </x:c>
      <x:c r="O134" s="30">
        <x:f>IF($A134="","",MAX(0,MIN(Config!$B$13,N134)))</x:f>
      </x:c>
      <x:c r="P134" s="12">
        <x:f>IF($A134="","",O134/Config!$B$13)</x:f>
      </x:c>
      <x:c r="Q134" s="13">
        <x:f>IF($A134="","",IF(O134&gt;=Config!$B$14,"A",IF(O134&gt;=Config!$B$15,"B","C")))</x:f>
      </x:c>
      <x:c r="R134" s="13">
        <x:f>IF($A134="","",IF(O134&gt;=Config!$B$14,"Low",IF(O134&gt;=Config!$B$15,"Medium","High")))</x:f>
      </x:c>
      <x:c r="S134" s="13">
        <x:f>IF($A134="","",IF(F134="No","Mapear decisor e agendar reunião",IF(E134&gt;Config!$B$9,"Realizar follow-up estruturado",IF(R134="High","Reavaliar estratégia do deal","Avançar para próxima etapa"))))</x:f>
      </x:c>
      <x:c r="T134" s="13">
        <x:f>IF($A134="","","Score " &amp; O134 &amp; "/100; rating " &amp; Q134 &amp; "; friction " &amp; R134 &amp; ".")</x:f>
      </x:c>
    </x:row>
    <x:row r="135" ht="34" customHeight="1">
      <x:c r="A135" s="9" t="n"/>
      <x:c r="B135" s="9" t="n"/>
      <x:c r="C135" s="29" t="n"/>
      <x:c r="D135" s="9" t="n"/>
      <x:c r="E135" s="9" t="n"/>
      <x:c r="F135" s="9" t="n"/>
      <x:c r="G135" s="9" t="n"/>
      <x:c r="H135" s="30">
        <x:f>IF($A135="","",Config!$B$4)</x:f>
      </x:c>
      <x:c r="I135" s="30">
        <x:f>IF($A135="","",IF(C135&gt;Config!$B$5,Config!$B$6,0))</x:f>
      </x:c>
      <x:c r="J135" s="30">
        <x:f>IF($A135="","",IF(F135="Yes",Config!$B$7,0))</x:f>
      </x:c>
      <x:c r="K135" s="30">
        <x:f>IF($A135="","",IF(OR(D135="proposal",D135="negotiation"),Config!$B$8,0))</x:f>
      </x:c>
      <x:c r="L135" s="30">
        <x:f>IF($A135="","",IF(E135&gt;Config!$B$9,Config!$B$10,0))</x:f>
      </x:c>
      <x:c r="M135" s="30">
        <x:f>IF($A135="","",IF(G135&gt;=Config!$B$11,Config!$B$12,0))</x:f>
      </x:c>
      <x:c r="N135" s="30">
        <x:f>IF($A135="","",SUM(H135:M135))</x:f>
      </x:c>
      <x:c r="O135" s="30">
        <x:f>IF($A135="","",MAX(0,MIN(Config!$B$13,N135)))</x:f>
      </x:c>
      <x:c r="P135" s="12">
        <x:f>IF($A135="","",O135/Config!$B$13)</x:f>
      </x:c>
      <x:c r="Q135" s="13">
        <x:f>IF($A135="","",IF(O135&gt;=Config!$B$14,"A",IF(O135&gt;=Config!$B$15,"B","C")))</x:f>
      </x:c>
      <x:c r="R135" s="13">
        <x:f>IF($A135="","",IF(O135&gt;=Config!$B$14,"Low",IF(O135&gt;=Config!$B$15,"Medium","High")))</x:f>
      </x:c>
      <x:c r="S135" s="13">
        <x:f>IF($A135="","",IF(F135="No","Mapear decisor e agendar reunião",IF(E135&gt;Config!$B$9,"Realizar follow-up estruturado",IF(R135="High","Reavaliar estratégia do deal","Avançar para próxima etapa"))))</x:f>
      </x:c>
      <x:c r="T135" s="13">
        <x:f>IF($A135="","","Score " &amp; O135 &amp; "/100; rating " &amp; Q135 &amp; "; friction " &amp; R135 &amp; ".")</x:f>
      </x:c>
    </x:row>
    <x:row r="136" ht="34" customHeight="1">
      <x:c r="A136" s="9" t="n"/>
      <x:c r="B136" s="9" t="n"/>
      <x:c r="C136" s="29" t="n"/>
      <x:c r="D136" s="9" t="n"/>
      <x:c r="E136" s="9" t="n"/>
      <x:c r="F136" s="9" t="n"/>
      <x:c r="G136" s="9" t="n"/>
      <x:c r="H136" s="30">
        <x:f>IF($A136="","",Config!$B$4)</x:f>
      </x:c>
      <x:c r="I136" s="30">
        <x:f>IF($A136="","",IF(C136&gt;Config!$B$5,Config!$B$6,0))</x:f>
      </x:c>
      <x:c r="J136" s="30">
        <x:f>IF($A136="","",IF(F136="Yes",Config!$B$7,0))</x:f>
      </x:c>
      <x:c r="K136" s="30">
        <x:f>IF($A136="","",IF(OR(D136="proposal",D136="negotiation"),Config!$B$8,0))</x:f>
      </x:c>
      <x:c r="L136" s="30">
        <x:f>IF($A136="","",IF(E136&gt;Config!$B$9,Config!$B$10,0))</x:f>
      </x:c>
      <x:c r="M136" s="30">
        <x:f>IF($A136="","",IF(G136&gt;=Config!$B$11,Config!$B$12,0))</x:f>
      </x:c>
      <x:c r="N136" s="30">
        <x:f>IF($A136="","",SUM(H136:M136))</x:f>
      </x:c>
      <x:c r="O136" s="30">
        <x:f>IF($A136="","",MAX(0,MIN(Config!$B$13,N136)))</x:f>
      </x:c>
      <x:c r="P136" s="12">
        <x:f>IF($A136="","",O136/Config!$B$13)</x:f>
      </x:c>
      <x:c r="Q136" s="13">
        <x:f>IF($A136="","",IF(O136&gt;=Config!$B$14,"A",IF(O136&gt;=Config!$B$15,"B","C")))</x:f>
      </x:c>
      <x:c r="R136" s="13">
        <x:f>IF($A136="","",IF(O136&gt;=Config!$B$14,"Low",IF(O136&gt;=Config!$B$15,"Medium","High")))</x:f>
      </x:c>
      <x:c r="S136" s="13">
        <x:f>IF($A136="","",IF(F136="No","Mapear decisor e agendar reunião",IF(E136&gt;Config!$B$9,"Realizar follow-up estruturado",IF(R136="High","Reavaliar estratégia do deal","Avançar para próxima etapa"))))</x:f>
      </x:c>
      <x:c r="T136" s="13">
        <x:f>IF($A136="","","Score " &amp; O136 &amp; "/100; rating " &amp; Q136 &amp; "; friction " &amp; R136 &amp; ".")</x:f>
      </x:c>
    </x:row>
    <x:row r="137" ht="34" customHeight="1">
      <x:c r="A137" s="9" t="n"/>
      <x:c r="B137" s="9" t="n"/>
      <x:c r="C137" s="29" t="n"/>
      <x:c r="D137" s="9" t="n"/>
      <x:c r="E137" s="9" t="n"/>
      <x:c r="F137" s="9" t="n"/>
      <x:c r="G137" s="9" t="n"/>
      <x:c r="H137" s="30">
        <x:f>IF($A137="","",Config!$B$4)</x:f>
      </x:c>
      <x:c r="I137" s="30">
        <x:f>IF($A137="","",IF(C137&gt;Config!$B$5,Config!$B$6,0))</x:f>
      </x:c>
      <x:c r="J137" s="30">
        <x:f>IF($A137="","",IF(F137="Yes",Config!$B$7,0))</x:f>
      </x:c>
      <x:c r="K137" s="30">
        <x:f>IF($A137="","",IF(OR(D137="proposal",D137="negotiation"),Config!$B$8,0))</x:f>
      </x:c>
      <x:c r="L137" s="30">
        <x:f>IF($A137="","",IF(E137&gt;Config!$B$9,Config!$B$10,0))</x:f>
      </x:c>
      <x:c r="M137" s="30">
        <x:f>IF($A137="","",IF(G137&gt;=Config!$B$11,Config!$B$12,0))</x:f>
      </x:c>
      <x:c r="N137" s="30">
        <x:f>IF($A137="","",SUM(H137:M137))</x:f>
      </x:c>
      <x:c r="O137" s="30">
        <x:f>IF($A137="","",MAX(0,MIN(Config!$B$13,N137)))</x:f>
      </x:c>
      <x:c r="P137" s="12">
        <x:f>IF($A137="","",O137/Config!$B$13)</x:f>
      </x:c>
      <x:c r="Q137" s="13">
        <x:f>IF($A137="","",IF(O137&gt;=Config!$B$14,"A",IF(O137&gt;=Config!$B$15,"B","C")))</x:f>
      </x:c>
      <x:c r="R137" s="13">
        <x:f>IF($A137="","",IF(O137&gt;=Config!$B$14,"Low",IF(O137&gt;=Config!$B$15,"Medium","High")))</x:f>
      </x:c>
      <x:c r="S137" s="13">
        <x:f>IF($A137="","",IF(F137="No","Mapear decisor e agendar reunião",IF(E137&gt;Config!$B$9,"Realizar follow-up estruturado",IF(R137="High","Reavaliar estratégia do deal","Avançar para próxima etapa"))))</x:f>
      </x:c>
      <x:c r="T137" s="13">
        <x:f>IF($A137="","","Score " &amp; O137 &amp; "/100; rating " &amp; Q137 &amp; "; friction " &amp; R137 &amp; ".")</x:f>
      </x:c>
    </x:row>
    <x:row r="138" ht="34" customHeight="1">
      <x:c r="A138" s="9" t="n"/>
      <x:c r="B138" s="9" t="n"/>
      <x:c r="C138" s="29" t="n"/>
      <x:c r="D138" s="9" t="n"/>
      <x:c r="E138" s="9" t="n"/>
      <x:c r="F138" s="9" t="n"/>
      <x:c r="G138" s="9" t="n"/>
      <x:c r="H138" s="30">
        <x:f>IF($A138="","",Config!$B$4)</x:f>
      </x:c>
      <x:c r="I138" s="30">
        <x:f>IF($A138="","",IF(C138&gt;Config!$B$5,Config!$B$6,0))</x:f>
      </x:c>
      <x:c r="J138" s="30">
        <x:f>IF($A138="","",IF(F138="Yes",Config!$B$7,0))</x:f>
      </x:c>
      <x:c r="K138" s="30">
        <x:f>IF($A138="","",IF(OR(D138="proposal",D138="negotiation"),Config!$B$8,0))</x:f>
      </x:c>
      <x:c r="L138" s="30">
        <x:f>IF($A138="","",IF(E138&gt;Config!$B$9,Config!$B$10,0))</x:f>
      </x:c>
      <x:c r="M138" s="30">
        <x:f>IF($A138="","",IF(G138&gt;=Config!$B$11,Config!$B$12,0))</x:f>
      </x:c>
      <x:c r="N138" s="30">
        <x:f>IF($A138="","",SUM(H138:M138))</x:f>
      </x:c>
      <x:c r="O138" s="30">
        <x:f>IF($A138="","",MAX(0,MIN(Config!$B$13,N138)))</x:f>
      </x:c>
      <x:c r="P138" s="12">
        <x:f>IF($A138="","",O138/Config!$B$13)</x:f>
      </x:c>
      <x:c r="Q138" s="13">
        <x:f>IF($A138="","",IF(O138&gt;=Config!$B$14,"A",IF(O138&gt;=Config!$B$15,"B","C")))</x:f>
      </x:c>
      <x:c r="R138" s="13">
        <x:f>IF($A138="","",IF(O138&gt;=Config!$B$14,"Low",IF(O138&gt;=Config!$B$15,"Medium","High")))</x:f>
      </x:c>
      <x:c r="S138" s="13">
        <x:f>IF($A138="","",IF(F138="No","Mapear decisor e agendar reunião",IF(E138&gt;Config!$B$9,"Realizar follow-up estruturado",IF(R138="High","Reavaliar estratégia do deal","Avançar para próxima etapa"))))</x:f>
      </x:c>
      <x:c r="T138" s="13">
        <x:f>IF($A138="","","Score " &amp; O138 &amp; "/100; rating " &amp; Q138 &amp; "; friction " &amp; R138 &amp; ".")</x:f>
      </x:c>
    </x:row>
    <x:row r="139" ht="34" customHeight="1">
      <x:c r="A139" s="9" t="n"/>
      <x:c r="B139" s="9" t="n"/>
      <x:c r="C139" s="29" t="n"/>
      <x:c r="D139" s="9" t="n"/>
      <x:c r="E139" s="9" t="n"/>
      <x:c r="F139" s="9" t="n"/>
      <x:c r="G139" s="9" t="n"/>
      <x:c r="H139" s="30">
        <x:f>IF($A139="","",Config!$B$4)</x:f>
      </x:c>
      <x:c r="I139" s="30">
        <x:f>IF($A139="","",IF(C139&gt;Config!$B$5,Config!$B$6,0))</x:f>
      </x:c>
      <x:c r="J139" s="30">
        <x:f>IF($A139="","",IF(F139="Yes",Config!$B$7,0))</x:f>
      </x:c>
      <x:c r="K139" s="30">
        <x:f>IF($A139="","",IF(OR(D139="proposal",D139="negotiation"),Config!$B$8,0))</x:f>
      </x:c>
      <x:c r="L139" s="30">
        <x:f>IF($A139="","",IF(E139&gt;Config!$B$9,Config!$B$10,0))</x:f>
      </x:c>
      <x:c r="M139" s="30">
        <x:f>IF($A139="","",IF(G139&gt;=Config!$B$11,Config!$B$12,0))</x:f>
      </x:c>
      <x:c r="N139" s="30">
        <x:f>IF($A139="","",SUM(H139:M139))</x:f>
      </x:c>
      <x:c r="O139" s="30">
        <x:f>IF($A139="","",MAX(0,MIN(Config!$B$13,N139)))</x:f>
      </x:c>
      <x:c r="P139" s="12">
        <x:f>IF($A139="","",O139/Config!$B$13)</x:f>
      </x:c>
      <x:c r="Q139" s="13">
        <x:f>IF($A139="","",IF(O139&gt;=Config!$B$14,"A",IF(O139&gt;=Config!$B$15,"B","C")))</x:f>
      </x:c>
      <x:c r="R139" s="13">
        <x:f>IF($A139="","",IF(O139&gt;=Config!$B$14,"Low",IF(O139&gt;=Config!$B$15,"Medium","High")))</x:f>
      </x:c>
      <x:c r="S139" s="13">
        <x:f>IF($A139="","",IF(F139="No","Mapear decisor e agendar reunião",IF(E139&gt;Config!$B$9,"Realizar follow-up estruturado",IF(R139="High","Reavaliar estratégia do deal","Avançar para próxima etapa"))))</x:f>
      </x:c>
      <x:c r="T139" s="13">
        <x:f>IF($A139="","","Score " &amp; O139 &amp; "/100; rating " &amp; Q139 &amp; "; friction " &amp; R139 &amp; ".")</x:f>
      </x:c>
    </x:row>
    <x:row r="140" ht="34" customHeight="1">
      <x:c r="A140" s="9" t="n"/>
      <x:c r="B140" s="9" t="n"/>
      <x:c r="C140" s="29" t="n"/>
      <x:c r="D140" s="9" t="n"/>
      <x:c r="E140" s="9" t="n"/>
      <x:c r="F140" s="9" t="n"/>
      <x:c r="G140" s="9" t="n"/>
      <x:c r="H140" s="30">
        <x:f>IF($A140="","",Config!$B$4)</x:f>
      </x:c>
      <x:c r="I140" s="30">
        <x:f>IF($A140="","",IF(C140&gt;Config!$B$5,Config!$B$6,0))</x:f>
      </x:c>
      <x:c r="J140" s="30">
        <x:f>IF($A140="","",IF(F140="Yes",Config!$B$7,0))</x:f>
      </x:c>
      <x:c r="K140" s="30">
        <x:f>IF($A140="","",IF(OR(D140="proposal",D140="negotiation"),Config!$B$8,0))</x:f>
      </x:c>
      <x:c r="L140" s="30">
        <x:f>IF($A140="","",IF(E140&gt;Config!$B$9,Config!$B$10,0))</x:f>
      </x:c>
      <x:c r="M140" s="30">
        <x:f>IF($A140="","",IF(G140&gt;=Config!$B$11,Config!$B$12,0))</x:f>
      </x:c>
      <x:c r="N140" s="30">
        <x:f>IF($A140="","",SUM(H140:M140))</x:f>
      </x:c>
      <x:c r="O140" s="30">
        <x:f>IF($A140="","",MAX(0,MIN(Config!$B$13,N140)))</x:f>
      </x:c>
      <x:c r="P140" s="12">
        <x:f>IF($A140="","",O140/Config!$B$13)</x:f>
      </x:c>
      <x:c r="Q140" s="13">
        <x:f>IF($A140="","",IF(O140&gt;=Config!$B$14,"A",IF(O140&gt;=Config!$B$15,"B","C")))</x:f>
      </x:c>
      <x:c r="R140" s="13">
        <x:f>IF($A140="","",IF(O140&gt;=Config!$B$14,"Low",IF(O140&gt;=Config!$B$15,"Medium","High")))</x:f>
      </x:c>
      <x:c r="S140" s="13">
        <x:f>IF($A140="","",IF(F140="No","Mapear decisor e agendar reunião",IF(E140&gt;Config!$B$9,"Realizar follow-up estruturado",IF(R140="High","Reavaliar estratégia do deal","Avançar para próxima etapa"))))</x:f>
      </x:c>
      <x:c r="T140" s="13">
        <x:f>IF($A140="","","Score " &amp; O140 &amp; "/100; rating " &amp; Q140 &amp; "; friction " &amp; R140 &amp; ".")</x:f>
      </x:c>
    </x:row>
    <x:row r="141" ht="34" customHeight="1">
      <x:c r="A141" s="9" t="n"/>
      <x:c r="B141" s="9" t="n"/>
      <x:c r="C141" s="29" t="n"/>
      <x:c r="D141" s="9" t="n"/>
      <x:c r="E141" s="9" t="n"/>
      <x:c r="F141" s="9" t="n"/>
      <x:c r="G141" s="9" t="n"/>
      <x:c r="H141" s="30">
        <x:f>IF($A141="","",Config!$B$4)</x:f>
      </x:c>
      <x:c r="I141" s="30">
        <x:f>IF($A141="","",IF(C141&gt;Config!$B$5,Config!$B$6,0))</x:f>
      </x:c>
      <x:c r="J141" s="30">
        <x:f>IF($A141="","",IF(F141="Yes",Config!$B$7,0))</x:f>
      </x:c>
      <x:c r="K141" s="30">
        <x:f>IF($A141="","",IF(OR(D141="proposal",D141="negotiation"),Config!$B$8,0))</x:f>
      </x:c>
      <x:c r="L141" s="30">
        <x:f>IF($A141="","",IF(E141&gt;Config!$B$9,Config!$B$10,0))</x:f>
      </x:c>
      <x:c r="M141" s="30">
        <x:f>IF($A141="","",IF(G141&gt;=Config!$B$11,Config!$B$12,0))</x:f>
      </x:c>
      <x:c r="N141" s="30">
        <x:f>IF($A141="","",SUM(H141:M141))</x:f>
      </x:c>
      <x:c r="O141" s="30">
        <x:f>IF($A141="","",MAX(0,MIN(Config!$B$13,N141)))</x:f>
      </x:c>
      <x:c r="P141" s="12">
        <x:f>IF($A141="","",O141/Config!$B$13)</x:f>
      </x:c>
      <x:c r="Q141" s="13">
        <x:f>IF($A141="","",IF(O141&gt;=Config!$B$14,"A",IF(O141&gt;=Config!$B$15,"B","C")))</x:f>
      </x:c>
      <x:c r="R141" s="13">
        <x:f>IF($A141="","",IF(O141&gt;=Config!$B$14,"Low",IF(O141&gt;=Config!$B$15,"Medium","High")))</x:f>
      </x:c>
      <x:c r="S141" s="13">
        <x:f>IF($A141="","",IF(F141="No","Mapear decisor e agendar reunião",IF(E141&gt;Config!$B$9,"Realizar follow-up estruturado",IF(R141="High","Reavaliar estratégia do deal","Avançar para próxima etapa"))))</x:f>
      </x:c>
      <x:c r="T141" s="13">
        <x:f>IF($A141="","","Score " &amp; O141 &amp; "/100; rating " &amp; Q141 &amp; "; friction " &amp; R141 &amp; ".")</x:f>
      </x:c>
    </x:row>
    <x:row r="142" ht="34" customHeight="1">
      <x:c r="A142" s="9" t="n"/>
      <x:c r="B142" s="9" t="n"/>
      <x:c r="C142" s="29" t="n"/>
      <x:c r="D142" s="9" t="n"/>
      <x:c r="E142" s="9" t="n"/>
      <x:c r="F142" s="9" t="n"/>
      <x:c r="G142" s="9" t="n"/>
      <x:c r="H142" s="30">
        <x:f>IF($A142="","",Config!$B$4)</x:f>
      </x:c>
      <x:c r="I142" s="30">
        <x:f>IF($A142="","",IF(C142&gt;Config!$B$5,Config!$B$6,0))</x:f>
      </x:c>
      <x:c r="J142" s="30">
        <x:f>IF($A142="","",IF(F142="Yes",Config!$B$7,0))</x:f>
      </x:c>
      <x:c r="K142" s="30">
        <x:f>IF($A142="","",IF(OR(D142="proposal",D142="negotiation"),Config!$B$8,0))</x:f>
      </x:c>
      <x:c r="L142" s="30">
        <x:f>IF($A142="","",IF(E142&gt;Config!$B$9,Config!$B$10,0))</x:f>
      </x:c>
      <x:c r="M142" s="30">
        <x:f>IF($A142="","",IF(G142&gt;=Config!$B$11,Config!$B$12,0))</x:f>
      </x:c>
      <x:c r="N142" s="30">
        <x:f>IF($A142="","",SUM(H142:M142))</x:f>
      </x:c>
      <x:c r="O142" s="30">
        <x:f>IF($A142="","",MAX(0,MIN(Config!$B$13,N142)))</x:f>
      </x:c>
      <x:c r="P142" s="12">
        <x:f>IF($A142="","",O142/Config!$B$13)</x:f>
      </x:c>
      <x:c r="Q142" s="13">
        <x:f>IF($A142="","",IF(O142&gt;=Config!$B$14,"A",IF(O142&gt;=Config!$B$15,"B","C")))</x:f>
      </x:c>
      <x:c r="R142" s="13">
        <x:f>IF($A142="","",IF(O142&gt;=Config!$B$14,"Low",IF(O142&gt;=Config!$B$15,"Medium","High")))</x:f>
      </x:c>
      <x:c r="S142" s="13">
        <x:f>IF($A142="","",IF(F142="No","Mapear decisor e agendar reunião",IF(E142&gt;Config!$B$9,"Realizar follow-up estruturado",IF(R142="High","Reavaliar estratégia do deal","Avançar para próxima etapa"))))</x:f>
      </x:c>
      <x:c r="T142" s="13">
        <x:f>IF($A142="","","Score " &amp; O142 &amp; "/100; rating " &amp; Q142 &amp; "; friction " &amp; R142 &amp; ".")</x:f>
      </x:c>
    </x:row>
    <x:row r="143" ht="34" customHeight="1">
      <x:c r="A143" s="9" t="n"/>
      <x:c r="B143" s="9" t="n"/>
      <x:c r="C143" s="29" t="n"/>
      <x:c r="D143" s="9" t="n"/>
      <x:c r="E143" s="9" t="n"/>
      <x:c r="F143" s="9" t="n"/>
      <x:c r="G143" s="9" t="n"/>
      <x:c r="H143" s="30">
        <x:f>IF($A143="","",Config!$B$4)</x:f>
      </x:c>
      <x:c r="I143" s="30">
        <x:f>IF($A143="","",IF(C143&gt;Config!$B$5,Config!$B$6,0))</x:f>
      </x:c>
      <x:c r="J143" s="30">
        <x:f>IF($A143="","",IF(F143="Yes",Config!$B$7,0))</x:f>
      </x:c>
      <x:c r="K143" s="30">
        <x:f>IF($A143="","",IF(OR(D143="proposal",D143="negotiation"),Config!$B$8,0))</x:f>
      </x:c>
      <x:c r="L143" s="30">
        <x:f>IF($A143="","",IF(E143&gt;Config!$B$9,Config!$B$10,0))</x:f>
      </x:c>
      <x:c r="M143" s="30">
        <x:f>IF($A143="","",IF(G143&gt;=Config!$B$11,Config!$B$12,0))</x:f>
      </x:c>
      <x:c r="N143" s="30">
        <x:f>IF($A143="","",SUM(H143:M143))</x:f>
      </x:c>
      <x:c r="O143" s="30">
        <x:f>IF($A143="","",MAX(0,MIN(Config!$B$13,N143)))</x:f>
      </x:c>
      <x:c r="P143" s="12">
        <x:f>IF($A143="","",O143/Config!$B$13)</x:f>
      </x:c>
      <x:c r="Q143" s="13">
        <x:f>IF($A143="","",IF(O143&gt;=Config!$B$14,"A",IF(O143&gt;=Config!$B$15,"B","C")))</x:f>
      </x:c>
      <x:c r="R143" s="13">
        <x:f>IF($A143="","",IF(O143&gt;=Config!$B$14,"Low",IF(O143&gt;=Config!$B$15,"Medium","High")))</x:f>
      </x:c>
      <x:c r="S143" s="13">
        <x:f>IF($A143="","",IF(F143="No","Mapear decisor e agendar reunião",IF(E143&gt;Config!$B$9,"Realizar follow-up estruturado",IF(R143="High","Reavaliar estratégia do deal","Avançar para próxima etapa"))))</x:f>
      </x:c>
      <x:c r="T143" s="13">
        <x:f>IF($A143="","","Score " &amp; O143 &amp; "/100; rating " &amp; Q143 &amp; "; friction " &amp; R143 &amp; ".")</x:f>
      </x:c>
    </x:row>
    <x:row r="144" ht="34" customHeight="1">
      <x:c r="A144" s="9" t="n"/>
      <x:c r="B144" s="9" t="n"/>
      <x:c r="C144" s="29" t="n"/>
      <x:c r="D144" s="9" t="n"/>
      <x:c r="E144" s="9" t="n"/>
      <x:c r="F144" s="9" t="n"/>
      <x:c r="G144" s="9" t="n"/>
      <x:c r="H144" s="30">
        <x:f>IF($A144="","",Config!$B$4)</x:f>
      </x:c>
      <x:c r="I144" s="30">
        <x:f>IF($A144="","",IF(C144&gt;Config!$B$5,Config!$B$6,0))</x:f>
      </x:c>
      <x:c r="J144" s="30">
        <x:f>IF($A144="","",IF(F144="Yes",Config!$B$7,0))</x:f>
      </x:c>
      <x:c r="K144" s="30">
        <x:f>IF($A144="","",IF(OR(D144="proposal",D144="negotiation"),Config!$B$8,0))</x:f>
      </x:c>
      <x:c r="L144" s="30">
        <x:f>IF($A144="","",IF(E144&gt;Config!$B$9,Config!$B$10,0))</x:f>
      </x:c>
      <x:c r="M144" s="30">
        <x:f>IF($A144="","",IF(G144&gt;=Config!$B$11,Config!$B$12,0))</x:f>
      </x:c>
      <x:c r="N144" s="30">
        <x:f>IF($A144="","",SUM(H144:M144))</x:f>
      </x:c>
      <x:c r="O144" s="30">
        <x:f>IF($A144="","",MAX(0,MIN(Config!$B$13,N144)))</x:f>
      </x:c>
      <x:c r="P144" s="12">
        <x:f>IF($A144="","",O144/Config!$B$13)</x:f>
      </x:c>
      <x:c r="Q144" s="13">
        <x:f>IF($A144="","",IF(O144&gt;=Config!$B$14,"A",IF(O144&gt;=Config!$B$15,"B","C")))</x:f>
      </x:c>
      <x:c r="R144" s="13">
        <x:f>IF($A144="","",IF(O144&gt;=Config!$B$14,"Low",IF(O144&gt;=Config!$B$15,"Medium","High")))</x:f>
      </x:c>
      <x:c r="S144" s="13">
        <x:f>IF($A144="","",IF(F144="No","Mapear decisor e agendar reunião",IF(E144&gt;Config!$B$9,"Realizar follow-up estruturado",IF(R144="High","Reavaliar estratégia do deal","Avançar para próxima etapa"))))</x:f>
      </x:c>
      <x:c r="T144" s="13">
        <x:f>IF($A144="","","Score " &amp; O144 &amp; "/100; rating " &amp; Q144 &amp; "; friction " &amp; R144 &amp; ".")</x:f>
      </x:c>
    </x:row>
    <x:row r="145" ht="34" customHeight="1">
      <x:c r="A145" s="9" t="n"/>
      <x:c r="B145" s="9" t="n"/>
      <x:c r="C145" s="29" t="n"/>
      <x:c r="D145" s="9" t="n"/>
      <x:c r="E145" s="9" t="n"/>
      <x:c r="F145" s="9" t="n"/>
      <x:c r="G145" s="9" t="n"/>
      <x:c r="H145" s="30">
        <x:f>IF($A145="","",Config!$B$4)</x:f>
      </x:c>
      <x:c r="I145" s="30">
        <x:f>IF($A145="","",IF(C145&gt;Config!$B$5,Config!$B$6,0))</x:f>
      </x:c>
      <x:c r="J145" s="30">
        <x:f>IF($A145="","",IF(F145="Yes",Config!$B$7,0))</x:f>
      </x:c>
      <x:c r="K145" s="30">
        <x:f>IF($A145="","",IF(OR(D145="proposal",D145="negotiation"),Config!$B$8,0))</x:f>
      </x:c>
      <x:c r="L145" s="30">
        <x:f>IF($A145="","",IF(E145&gt;Config!$B$9,Config!$B$10,0))</x:f>
      </x:c>
      <x:c r="M145" s="30">
        <x:f>IF($A145="","",IF(G145&gt;=Config!$B$11,Config!$B$12,0))</x:f>
      </x:c>
      <x:c r="N145" s="30">
        <x:f>IF($A145="","",SUM(H145:M145))</x:f>
      </x:c>
      <x:c r="O145" s="30">
        <x:f>IF($A145="","",MAX(0,MIN(Config!$B$13,N145)))</x:f>
      </x:c>
      <x:c r="P145" s="12">
        <x:f>IF($A145="","",O145/Config!$B$13)</x:f>
      </x:c>
      <x:c r="Q145" s="13">
        <x:f>IF($A145="","",IF(O145&gt;=Config!$B$14,"A",IF(O145&gt;=Config!$B$15,"B","C")))</x:f>
      </x:c>
      <x:c r="R145" s="13">
        <x:f>IF($A145="","",IF(O145&gt;=Config!$B$14,"Low",IF(O145&gt;=Config!$B$15,"Medium","High")))</x:f>
      </x:c>
      <x:c r="S145" s="13">
        <x:f>IF($A145="","",IF(F145="No","Mapear decisor e agendar reunião",IF(E145&gt;Config!$B$9,"Realizar follow-up estruturado",IF(R145="High","Reavaliar estratégia do deal","Avançar para próxima etapa"))))</x:f>
      </x:c>
      <x:c r="T145" s="13">
        <x:f>IF($A145="","","Score " &amp; O145 &amp; "/100; rating " &amp; Q145 &amp; "; friction " &amp; R145 &amp; ".")</x:f>
      </x:c>
    </x:row>
    <x:row r="146" ht="34" customHeight="1">
      <x:c r="A146" s="9" t="n"/>
      <x:c r="B146" s="9" t="n"/>
      <x:c r="C146" s="29" t="n"/>
      <x:c r="D146" s="9" t="n"/>
      <x:c r="E146" s="9" t="n"/>
      <x:c r="F146" s="9" t="n"/>
      <x:c r="G146" s="9" t="n"/>
      <x:c r="H146" s="30">
        <x:f>IF($A146="","",Config!$B$4)</x:f>
      </x:c>
      <x:c r="I146" s="30">
        <x:f>IF($A146="","",IF(C146&gt;Config!$B$5,Config!$B$6,0))</x:f>
      </x:c>
      <x:c r="J146" s="30">
        <x:f>IF($A146="","",IF(F146="Yes",Config!$B$7,0))</x:f>
      </x:c>
      <x:c r="K146" s="30">
        <x:f>IF($A146="","",IF(OR(D146="proposal",D146="negotiation"),Config!$B$8,0))</x:f>
      </x:c>
      <x:c r="L146" s="30">
        <x:f>IF($A146="","",IF(E146&gt;Config!$B$9,Config!$B$10,0))</x:f>
      </x:c>
      <x:c r="M146" s="30">
        <x:f>IF($A146="","",IF(G146&gt;=Config!$B$11,Config!$B$12,0))</x:f>
      </x:c>
      <x:c r="N146" s="30">
        <x:f>IF($A146="","",SUM(H146:M146))</x:f>
      </x:c>
      <x:c r="O146" s="30">
        <x:f>IF($A146="","",MAX(0,MIN(Config!$B$13,N146)))</x:f>
      </x:c>
      <x:c r="P146" s="12">
        <x:f>IF($A146="","",O146/Config!$B$13)</x:f>
      </x:c>
      <x:c r="Q146" s="13">
        <x:f>IF($A146="","",IF(O146&gt;=Config!$B$14,"A",IF(O146&gt;=Config!$B$15,"B","C")))</x:f>
      </x:c>
      <x:c r="R146" s="13">
        <x:f>IF($A146="","",IF(O146&gt;=Config!$B$14,"Low",IF(O146&gt;=Config!$B$15,"Medium","High")))</x:f>
      </x:c>
      <x:c r="S146" s="13">
        <x:f>IF($A146="","",IF(F146="No","Mapear decisor e agendar reunião",IF(E146&gt;Config!$B$9,"Realizar follow-up estruturado",IF(R146="High","Reavaliar estratégia do deal","Avançar para próxima etapa"))))</x:f>
      </x:c>
      <x:c r="T146" s="13">
        <x:f>IF($A146="","","Score " &amp; O146 &amp; "/100; rating " &amp; Q146 &amp; "; friction " &amp; R146 &amp; ".")</x:f>
      </x:c>
    </x:row>
    <x:row r="147" ht="34" customHeight="1">
      <x:c r="A147" s="9" t="n"/>
      <x:c r="B147" s="9" t="n"/>
      <x:c r="C147" s="29" t="n"/>
      <x:c r="D147" s="9" t="n"/>
      <x:c r="E147" s="9" t="n"/>
      <x:c r="F147" s="9" t="n"/>
      <x:c r="G147" s="9" t="n"/>
      <x:c r="H147" s="30">
        <x:f>IF($A147="","",Config!$B$4)</x:f>
      </x:c>
      <x:c r="I147" s="30">
        <x:f>IF($A147="","",IF(C147&gt;Config!$B$5,Config!$B$6,0))</x:f>
      </x:c>
      <x:c r="J147" s="30">
        <x:f>IF($A147="","",IF(F147="Yes",Config!$B$7,0))</x:f>
      </x:c>
      <x:c r="K147" s="30">
        <x:f>IF($A147="","",IF(OR(D147="proposal",D147="negotiation"),Config!$B$8,0))</x:f>
      </x:c>
      <x:c r="L147" s="30">
        <x:f>IF($A147="","",IF(E147&gt;Config!$B$9,Config!$B$10,0))</x:f>
      </x:c>
      <x:c r="M147" s="30">
        <x:f>IF($A147="","",IF(G147&gt;=Config!$B$11,Config!$B$12,0))</x:f>
      </x:c>
      <x:c r="N147" s="30">
        <x:f>IF($A147="","",SUM(H147:M147))</x:f>
      </x:c>
      <x:c r="O147" s="30">
        <x:f>IF($A147="","",MAX(0,MIN(Config!$B$13,N147)))</x:f>
      </x:c>
      <x:c r="P147" s="12">
        <x:f>IF($A147="","",O147/Config!$B$13)</x:f>
      </x:c>
      <x:c r="Q147" s="13">
        <x:f>IF($A147="","",IF(O147&gt;=Config!$B$14,"A",IF(O147&gt;=Config!$B$15,"B","C")))</x:f>
      </x:c>
      <x:c r="R147" s="13">
        <x:f>IF($A147="","",IF(O147&gt;=Config!$B$14,"Low",IF(O147&gt;=Config!$B$15,"Medium","High")))</x:f>
      </x:c>
      <x:c r="S147" s="13">
        <x:f>IF($A147="","",IF(F147="No","Mapear decisor e agendar reunião",IF(E147&gt;Config!$B$9,"Realizar follow-up estruturado",IF(R147="High","Reavaliar estratégia do deal","Avançar para próxima etapa"))))</x:f>
      </x:c>
      <x:c r="T147" s="13">
        <x:f>IF($A147="","","Score " &amp; O147 &amp; "/100; rating " &amp; Q147 &amp; "; friction " &amp; R147 &amp; ".")</x:f>
      </x:c>
    </x:row>
    <x:row r="148" ht="34" customHeight="1">
      <x:c r="A148" s="9" t="n"/>
      <x:c r="B148" s="9" t="n"/>
      <x:c r="C148" s="29" t="n"/>
      <x:c r="D148" s="9" t="n"/>
      <x:c r="E148" s="9" t="n"/>
      <x:c r="F148" s="9" t="n"/>
      <x:c r="G148" s="9" t="n"/>
      <x:c r="H148" s="30">
        <x:f>IF($A148="","",Config!$B$4)</x:f>
      </x:c>
      <x:c r="I148" s="30">
        <x:f>IF($A148="","",IF(C148&gt;Config!$B$5,Config!$B$6,0))</x:f>
      </x:c>
      <x:c r="J148" s="30">
        <x:f>IF($A148="","",IF(F148="Yes",Config!$B$7,0))</x:f>
      </x:c>
      <x:c r="K148" s="30">
        <x:f>IF($A148="","",IF(OR(D148="proposal",D148="negotiation"),Config!$B$8,0))</x:f>
      </x:c>
      <x:c r="L148" s="30">
        <x:f>IF($A148="","",IF(E148&gt;Config!$B$9,Config!$B$10,0))</x:f>
      </x:c>
      <x:c r="M148" s="30">
        <x:f>IF($A148="","",IF(G148&gt;=Config!$B$11,Config!$B$12,0))</x:f>
      </x:c>
      <x:c r="N148" s="30">
        <x:f>IF($A148="","",SUM(H148:M148))</x:f>
      </x:c>
      <x:c r="O148" s="30">
        <x:f>IF($A148="","",MAX(0,MIN(Config!$B$13,N148)))</x:f>
      </x:c>
      <x:c r="P148" s="12">
        <x:f>IF($A148="","",O148/Config!$B$13)</x:f>
      </x:c>
      <x:c r="Q148" s="13">
        <x:f>IF($A148="","",IF(O148&gt;=Config!$B$14,"A",IF(O148&gt;=Config!$B$15,"B","C")))</x:f>
      </x:c>
      <x:c r="R148" s="13">
        <x:f>IF($A148="","",IF(O148&gt;=Config!$B$14,"Low",IF(O148&gt;=Config!$B$15,"Medium","High")))</x:f>
      </x:c>
      <x:c r="S148" s="13">
        <x:f>IF($A148="","",IF(F148="No","Mapear decisor e agendar reunião",IF(E148&gt;Config!$B$9,"Realizar follow-up estruturado",IF(R148="High","Reavaliar estratégia do deal","Avançar para próxima etapa"))))</x:f>
      </x:c>
      <x:c r="T148" s="13">
        <x:f>IF($A148="","","Score " &amp; O148 &amp; "/100; rating " &amp; Q148 &amp; "; friction " &amp; R148 &amp; ".")</x:f>
      </x:c>
    </x:row>
    <x:row r="149" ht="34" customHeight="1">
      <x:c r="A149" s="9" t="n"/>
      <x:c r="B149" s="9" t="n"/>
      <x:c r="C149" s="29" t="n"/>
      <x:c r="D149" s="9" t="n"/>
      <x:c r="E149" s="9" t="n"/>
      <x:c r="F149" s="9" t="n"/>
      <x:c r="G149" s="9" t="n"/>
      <x:c r="H149" s="30">
        <x:f>IF($A149="","",Config!$B$4)</x:f>
      </x:c>
      <x:c r="I149" s="30">
        <x:f>IF($A149="","",IF(C149&gt;Config!$B$5,Config!$B$6,0))</x:f>
      </x:c>
      <x:c r="J149" s="30">
        <x:f>IF($A149="","",IF(F149="Yes",Config!$B$7,0))</x:f>
      </x:c>
      <x:c r="K149" s="30">
        <x:f>IF($A149="","",IF(OR(D149="proposal",D149="negotiation"),Config!$B$8,0))</x:f>
      </x:c>
      <x:c r="L149" s="30">
        <x:f>IF($A149="","",IF(E149&gt;Config!$B$9,Config!$B$10,0))</x:f>
      </x:c>
      <x:c r="M149" s="30">
        <x:f>IF($A149="","",IF(G149&gt;=Config!$B$11,Config!$B$12,0))</x:f>
      </x:c>
      <x:c r="N149" s="30">
        <x:f>IF($A149="","",SUM(H149:M149))</x:f>
      </x:c>
      <x:c r="O149" s="30">
        <x:f>IF($A149="","",MAX(0,MIN(Config!$B$13,N149)))</x:f>
      </x:c>
      <x:c r="P149" s="12">
        <x:f>IF($A149="","",O149/Config!$B$13)</x:f>
      </x:c>
      <x:c r="Q149" s="13">
        <x:f>IF($A149="","",IF(O149&gt;=Config!$B$14,"A",IF(O149&gt;=Config!$B$15,"B","C")))</x:f>
      </x:c>
      <x:c r="R149" s="13">
        <x:f>IF($A149="","",IF(O149&gt;=Config!$B$14,"Low",IF(O149&gt;=Config!$B$15,"Medium","High")))</x:f>
      </x:c>
      <x:c r="S149" s="13">
        <x:f>IF($A149="","",IF(F149="No","Mapear decisor e agendar reunião",IF(E149&gt;Config!$B$9,"Realizar follow-up estruturado",IF(R149="High","Reavaliar estratégia do deal","Avançar para próxima etapa"))))</x:f>
      </x:c>
      <x:c r="T149" s="13">
        <x:f>IF($A149="","","Score " &amp; O149 &amp; "/100; rating " &amp; Q149 &amp; "; friction " &amp; R149 &amp; ".")</x:f>
      </x:c>
    </x:row>
    <x:row r="150" ht="34" customHeight="1">
      <x:c r="A150" s="9" t="n"/>
      <x:c r="B150" s="9" t="n"/>
      <x:c r="C150" s="29" t="n"/>
      <x:c r="D150" s="9" t="n"/>
      <x:c r="E150" s="9" t="n"/>
      <x:c r="F150" s="9" t="n"/>
      <x:c r="G150" s="9" t="n"/>
      <x:c r="H150" s="30">
        <x:f>IF($A150="","",Config!$B$4)</x:f>
      </x:c>
      <x:c r="I150" s="30">
        <x:f>IF($A150="","",IF(C150&gt;Config!$B$5,Config!$B$6,0))</x:f>
      </x:c>
      <x:c r="J150" s="30">
        <x:f>IF($A150="","",IF(F150="Yes",Config!$B$7,0))</x:f>
      </x:c>
      <x:c r="K150" s="30">
        <x:f>IF($A150="","",IF(OR(D150="proposal",D150="negotiation"),Config!$B$8,0))</x:f>
      </x:c>
      <x:c r="L150" s="30">
        <x:f>IF($A150="","",IF(E150&gt;Config!$B$9,Config!$B$10,0))</x:f>
      </x:c>
      <x:c r="M150" s="30">
        <x:f>IF($A150="","",IF(G150&gt;=Config!$B$11,Config!$B$12,0))</x:f>
      </x:c>
      <x:c r="N150" s="30">
        <x:f>IF($A150="","",SUM(H150:M150))</x:f>
      </x:c>
      <x:c r="O150" s="30">
        <x:f>IF($A150="","",MAX(0,MIN(Config!$B$13,N150)))</x:f>
      </x:c>
      <x:c r="P150" s="12">
        <x:f>IF($A150="","",O150/Config!$B$13)</x:f>
      </x:c>
      <x:c r="Q150" s="13">
        <x:f>IF($A150="","",IF(O150&gt;=Config!$B$14,"A",IF(O150&gt;=Config!$B$15,"B","C")))</x:f>
      </x:c>
      <x:c r="R150" s="13">
        <x:f>IF($A150="","",IF(O150&gt;=Config!$B$14,"Low",IF(O150&gt;=Config!$B$15,"Medium","High")))</x:f>
      </x:c>
      <x:c r="S150" s="13">
        <x:f>IF($A150="","",IF(F150="No","Mapear decisor e agendar reunião",IF(E150&gt;Config!$B$9,"Realizar follow-up estruturado",IF(R150="High","Reavaliar estratégia do deal","Avançar para próxima etapa"))))</x:f>
      </x:c>
      <x:c r="T150" s="13">
        <x:f>IF($A150="","","Score " &amp; O150 &amp; "/100; rating " &amp; Q150 &amp; "; friction " &amp; R150 &amp; ".")</x:f>
      </x:c>
    </x:row>
    <x:row r="151" ht="34" customHeight="1">
      <x:c r="A151" s="9" t="n"/>
      <x:c r="B151" s="9" t="n"/>
      <x:c r="C151" s="29" t="n"/>
      <x:c r="D151" s="9" t="n"/>
      <x:c r="E151" s="9" t="n"/>
      <x:c r="F151" s="9" t="n"/>
      <x:c r="G151" s="9" t="n"/>
      <x:c r="H151" s="30">
        <x:f>IF($A151="","",Config!$B$4)</x:f>
      </x:c>
      <x:c r="I151" s="30">
        <x:f>IF($A151="","",IF(C151&gt;Config!$B$5,Config!$B$6,0))</x:f>
      </x:c>
      <x:c r="J151" s="30">
        <x:f>IF($A151="","",IF(F151="Yes",Config!$B$7,0))</x:f>
      </x:c>
      <x:c r="K151" s="30">
        <x:f>IF($A151="","",IF(OR(D151="proposal",D151="negotiation"),Config!$B$8,0))</x:f>
      </x:c>
      <x:c r="L151" s="30">
        <x:f>IF($A151="","",IF(E151&gt;Config!$B$9,Config!$B$10,0))</x:f>
      </x:c>
      <x:c r="M151" s="30">
        <x:f>IF($A151="","",IF(G151&gt;=Config!$B$11,Config!$B$12,0))</x:f>
      </x:c>
      <x:c r="N151" s="30">
        <x:f>IF($A151="","",SUM(H151:M151))</x:f>
      </x:c>
      <x:c r="O151" s="30">
        <x:f>IF($A151="","",MAX(0,MIN(Config!$B$13,N151)))</x:f>
      </x:c>
      <x:c r="P151" s="12">
        <x:f>IF($A151="","",O151/Config!$B$13)</x:f>
      </x:c>
      <x:c r="Q151" s="13">
        <x:f>IF($A151="","",IF(O151&gt;=Config!$B$14,"A",IF(O151&gt;=Config!$B$15,"B","C")))</x:f>
      </x:c>
      <x:c r="R151" s="13">
        <x:f>IF($A151="","",IF(O151&gt;=Config!$B$14,"Low",IF(O151&gt;=Config!$B$15,"Medium","High")))</x:f>
      </x:c>
      <x:c r="S151" s="13">
        <x:f>IF($A151="","",IF(F151="No","Mapear decisor e agendar reunião",IF(E151&gt;Config!$B$9,"Realizar follow-up estruturado",IF(R151="High","Reavaliar estratégia do deal","Avançar para próxima etapa"))))</x:f>
      </x:c>
      <x:c r="T151" s="13">
        <x:f>IF($A151="","","Score " &amp; O151 &amp; "/100; rating " &amp; Q151 &amp; "; friction " &amp; R151 &amp; ".")</x:f>
      </x:c>
    </x:row>
    <x:row r="152" ht="34" customHeight="1">
      <x:c r="A152" s="9" t="n"/>
      <x:c r="B152" s="9" t="n"/>
      <x:c r="C152" s="29" t="n"/>
      <x:c r="D152" s="9" t="n"/>
      <x:c r="E152" s="9" t="n"/>
      <x:c r="F152" s="9" t="n"/>
      <x:c r="G152" s="9" t="n"/>
      <x:c r="H152" s="30">
        <x:f>IF($A152="","",Config!$B$4)</x:f>
      </x:c>
      <x:c r="I152" s="30">
        <x:f>IF($A152="","",IF(C152&gt;Config!$B$5,Config!$B$6,0))</x:f>
      </x:c>
      <x:c r="J152" s="30">
        <x:f>IF($A152="","",IF(F152="Yes",Config!$B$7,0))</x:f>
      </x:c>
      <x:c r="K152" s="30">
        <x:f>IF($A152="","",IF(OR(D152="proposal",D152="negotiation"),Config!$B$8,0))</x:f>
      </x:c>
      <x:c r="L152" s="30">
        <x:f>IF($A152="","",IF(E152&gt;Config!$B$9,Config!$B$10,0))</x:f>
      </x:c>
      <x:c r="M152" s="30">
        <x:f>IF($A152="","",IF(G152&gt;=Config!$B$11,Config!$B$12,0))</x:f>
      </x:c>
      <x:c r="N152" s="30">
        <x:f>IF($A152="","",SUM(H152:M152))</x:f>
      </x:c>
      <x:c r="O152" s="30">
        <x:f>IF($A152="","",MAX(0,MIN(Config!$B$13,N152)))</x:f>
      </x:c>
      <x:c r="P152" s="12">
        <x:f>IF($A152="","",O152/Config!$B$13)</x:f>
      </x:c>
      <x:c r="Q152" s="13">
        <x:f>IF($A152="","",IF(O152&gt;=Config!$B$14,"A",IF(O152&gt;=Config!$B$15,"B","C")))</x:f>
      </x:c>
      <x:c r="R152" s="13">
        <x:f>IF($A152="","",IF(O152&gt;=Config!$B$14,"Low",IF(O152&gt;=Config!$B$15,"Medium","High")))</x:f>
      </x:c>
      <x:c r="S152" s="13">
        <x:f>IF($A152="","",IF(F152="No","Mapear decisor e agendar reunião",IF(E152&gt;Config!$B$9,"Realizar follow-up estruturado",IF(R152="High","Reavaliar estratégia do deal","Avançar para próxima etapa"))))</x:f>
      </x:c>
      <x:c r="T152" s="13">
        <x:f>IF($A152="","","Score " &amp; O152 &amp; "/100; rating " &amp; Q152 &amp; "; friction " &amp; R152 &amp; ".")</x:f>
      </x:c>
    </x:row>
    <x:row r="153" ht="34" customHeight="1">
      <x:c r="A153" s="9" t="n"/>
      <x:c r="B153" s="9" t="n"/>
      <x:c r="C153" s="29" t="n"/>
      <x:c r="D153" s="9" t="n"/>
      <x:c r="E153" s="9" t="n"/>
      <x:c r="F153" s="9" t="n"/>
      <x:c r="G153" s="9" t="n"/>
      <x:c r="H153" s="30">
        <x:f>IF($A153="","",Config!$B$4)</x:f>
      </x:c>
      <x:c r="I153" s="30">
        <x:f>IF($A153="","",IF(C153&gt;Config!$B$5,Config!$B$6,0))</x:f>
      </x:c>
      <x:c r="J153" s="30">
        <x:f>IF($A153="","",IF(F153="Yes",Config!$B$7,0))</x:f>
      </x:c>
      <x:c r="K153" s="30">
        <x:f>IF($A153="","",IF(OR(D153="proposal",D153="negotiation"),Config!$B$8,0))</x:f>
      </x:c>
      <x:c r="L153" s="30">
        <x:f>IF($A153="","",IF(E153&gt;Config!$B$9,Config!$B$10,0))</x:f>
      </x:c>
      <x:c r="M153" s="30">
        <x:f>IF($A153="","",IF(G153&gt;=Config!$B$11,Config!$B$12,0))</x:f>
      </x:c>
      <x:c r="N153" s="30">
        <x:f>IF($A153="","",SUM(H153:M153))</x:f>
      </x:c>
      <x:c r="O153" s="30">
        <x:f>IF($A153="","",MAX(0,MIN(Config!$B$13,N153)))</x:f>
      </x:c>
      <x:c r="P153" s="12">
        <x:f>IF($A153="","",O153/Config!$B$13)</x:f>
      </x:c>
      <x:c r="Q153" s="13">
        <x:f>IF($A153="","",IF(O153&gt;=Config!$B$14,"A",IF(O153&gt;=Config!$B$15,"B","C")))</x:f>
      </x:c>
      <x:c r="R153" s="13">
        <x:f>IF($A153="","",IF(O153&gt;=Config!$B$14,"Low",IF(O153&gt;=Config!$B$15,"Medium","High")))</x:f>
      </x:c>
      <x:c r="S153" s="13">
        <x:f>IF($A153="","",IF(F153="No","Mapear decisor e agendar reunião",IF(E153&gt;Config!$B$9,"Realizar follow-up estruturado",IF(R153="High","Reavaliar estratégia do deal","Avançar para próxima etapa"))))</x:f>
      </x:c>
      <x:c r="T153" s="13">
        <x:f>IF($A153="","","Score " &amp; O153 &amp; "/100; rating " &amp; Q153 &amp; "; friction " &amp; R153 &amp; ".")</x:f>
      </x:c>
    </x:row>
    <x:row r="154" ht="34" customHeight="1">
      <x:c r="A154" s="9" t="n"/>
      <x:c r="B154" s="9" t="n"/>
      <x:c r="C154" s="29" t="n"/>
      <x:c r="D154" s="9" t="n"/>
      <x:c r="E154" s="9" t="n"/>
      <x:c r="F154" s="9" t="n"/>
      <x:c r="G154" s="9" t="n"/>
      <x:c r="H154" s="30">
        <x:f>IF($A154="","",Config!$B$4)</x:f>
      </x:c>
      <x:c r="I154" s="30">
        <x:f>IF($A154="","",IF(C154&gt;Config!$B$5,Config!$B$6,0))</x:f>
      </x:c>
      <x:c r="J154" s="30">
        <x:f>IF($A154="","",IF(F154="Yes",Config!$B$7,0))</x:f>
      </x:c>
      <x:c r="K154" s="30">
        <x:f>IF($A154="","",IF(OR(D154="proposal",D154="negotiation"),Config!$B$8,0))</x:f>
      </x:c>
      <x:c r="L154" s="30">
        <x:f>IF($A154="","",IF(E154&gt;Config!$B$9,Config!$B$10,0))</x:f>
      </x:c>
      <x:c r="M154" s="30">
        <x:f>IF($A154="","",IF(G154&gt;=Config!$B$11,Config!$B$12,0))</x:f>
      </x:c>
      <x:c r="N154" s="30">
        <x:f>IF($A154="","",SUM(H154:M154))</x:f>
      </x:c>
      <x:c r="O154" s="30">
        <x:f>IF($A154="","",MAX(0,MIN(Config!$B$13,N154)))</x:f>
      </x:c>
      <x:c r="P154" s="12">
        <x:f>IF($A154="","",O154/Config!$B$13)</x:f>
      </x:c>
      <x:c r="Q154" s="13">
        <x:f>IF($A154="","",IF(O154&gt;=Config!$B$14,"A",IF(O154&gt;=Config!$B$15,"B","C")))</x:f>
      </x:c>
      <x:c r="R154" s="13">
        <x:f>IF($A154="","",IF(O154&gt;=Config!$B$14,"Low",IF(O154&gt;=Config!$B$15,"Medium","High")))</x:f>
      </x:c>
      <x:c r="S154" s="13">
        <x:f>IF($A154="","",IF(F154="No","Mapear decisor e agendar reunião",IF(E154&gt;Config!$B$9,"Realizar follow-up estruturado",IF(R154="High","Reavaliar estratégia do deal","Avançar para próxima etapa"))))</x:f>
      </x:c>
      <x:c r="T154" s="13">
        <x:f>IF($A154="","","Score " &amp; O154 &amp; "/100; rating " &amp; Q154 &amp; "; friction " &amp; R154 &amp; ".")</x:f>
      </x:c>
    </x:row>
    <x:row r="155" ht="34" customHeight="1">
      <x:c r="A155" s="9" t="n"/>
      <x:c r="B155" s="9" t="n"/>
      <x:c r="C155" s="29" t="n"/>
      <x:c r="D155" s="9" t="n"/>
      <x:c r="E155" s="9" t="n"/>
      <x:c r="F155" s="9" t="n"/>
      <x:c r="G155" s="9" t="n"/>
      <x:c r="H155" s="30">
        <x:f>IF($A155="","",Config!$B$4)</x:f>
      </x:c>
      <x:c r="I155" s="30">
        <x:f>IF($A155="","",IF(C155&gt;Config!$B$5,Config!$B$6,0))</x:f>
      </x:c>
      <x:c r="J155" s="30">
        <x:f>IF($A155="","",IF(F155="Yes",Config!$B$7,0))</x:f>
      </x:c>
      <x:c r="K155" s="30">
        <x:f>IF($A155="","",IF(OR(D155="proposal",D155="negotiation"),Config!$B$8,0))</x:f>
      </x:c>
      <x:c r="L155" s="30">
        <x:f>IF($A155="","",IF(E155&gt;Config!$B$9,Config!$B$10,0))</x:f>
      </x:c>
      <x:c r="M155" s="30">
        <x:f>IF($A155="","",IF(G155&gt;=Config!$B$11,Config!$B$12,0))</x:f>
      </x:c>
      <x:c r="N155" s="30">
        <x:f>IF($A155="","",SUM(H155:M155))</x:f>
      </x:c>
      <x:c r="O155" s="30">
        <x:f>IF($A155="","",MAX(0,MIN(Config!$B$13,N155)))</x:f>
      </x:c>
      <x:c r="P155" s="12">
        <x:f>IF($A155="","",O155/Config!$B$13)</x:f>
      </x:c>
      <x:c r="Q155" s="13">
        <x:f>IF($A155="","",IF(O155&gt;=Config!$B$14,"A",IF(O155&gt;=Config!$B$15,"B","C")))</x:f>
      </x:c>
      <x:c r="R155" s="13">
        <x:f>IF($A155="","",IF(O155&gt;=Config!$B$14,"Low",IF(O155&gt;=Config!$B$15,"Medium","High")))</x:f>
      </x:c>
      <x:c r="S155" s="13">
        <x:f>IF($A155="","",IF(F155="No","Mapear decisor e agendar reunião",IF(E155&gt;Config!$B$9,"Realizar follow-up estruturado",IF(R155="High","Reavaliar estratégia do deal","Avançar para próxima etapa"))))</x:f>
      </x:c>
      <x:c r="T155" s="13">
        <x:f>IF($A155="","","Score " &amp; O155 &amp; "/100; rating " &amp; Q155 &amp; "; friction " &amp; R155 &amp; ".")</x:f>
      </x:c>
    </x:row>
    <x:row r="156" ht="34" customHeight="1">
      <x:c r="A156" s="9" t="n"/>
      <x:c r="B156" s="9" t="n"/>
      <x:c r="C156" s="29" t="n"/>
      <x:c r="D156" s="9" t="n"/>
      <x:c r="E156" s="9" t="n"/>
      <x:c r="F156" s="9" t="n"/>
      <x:c r="G156" s="9" t="n"/>
      <x:c r="H156" s="30">
        <x:f>IF($A156="","",Config!$B$4)</x:f>
      </x:c>
      <x:c r="I156" s="30">
        <x:f>IF($A156="","",IF(C156&gt;Config!$B$5,Config!$B$6,0))</x:f>
      </x:c>
      <x:c r="J156" s="30">
        <x:f>IF($A156="","",IF(F156="Yes",Config!$B$7,0))</x:f>
      </x:c>
      <x:c r="K156" s="30">
        <x:f>IF($A156="","",IF(OR(D156="proposal",D156="negotiation"),Config!$B$8,0))</x:f>
      </x:c>
      <x:c r="L156" s="30">
        <x:f>IF($A156="","",IF(E156&gt;Config!$B$9,Config!$B$10,0))</x:f>
      </x:c>
      <x:c r="M156" s="30">
        <x:f>IF($A156="","",IF(G156&gt;=Config!$B$11,Config!$B$12,0))</x:f>
      </x:c>
      <x:c r="N156" s="30">
        <x:f>IF($A156="","",SUM(H156:M156))</x:f>
      </x:c>
      <x:c r="O156" s="30">
        <x:f>IF($A156="","",MAX(0,MIN(Config!$B$13,N156)))</x:f>
      </x:c>
      <x:c r="P156" s="12">
        <x:f>IF($A156="","",O156/Config!$B$13)</x:f>
      </x:c>
      <x:c r="Q156" s="13">
        <x:f>IF($A156="","",IF(O156&gt;=Config!$B$14,"A",IF(O156&gt;=Config!$B$15,"B","C")))</x:f>
      </x:c>
      <x:c r="R156" s="13">
        <x:f>IF($A156="","",IF(O156&gt;=Config!$B$14,"Low",IF(O156&gt;=Config!$B$15,"Medium","High")))</x:f>
      </x:c>
      <x:c r="S156" s="13">
        <x:f>IF($A156="","",IF(F156="No","Mapear decisor e agendar reunião",IF(E156&gt;Config!$B$9,"Realizar follow-up estruturado",IF(R156="High","Reavaliar estratégia do deal","Avançar para próxima etapa"))))</x:f>
      </x:c>
      <x:c r="T156" s="13">
        <x:f>IF($A156="","","Score " &amp; O156 &amp; "/100; rating " &amp; Q156 &amp; "; friction " &amp; R156 &amp; ".")</x:f>
      </x:c>
    </x:row>
    <x:row r="157" ht="34" customHeight="1">
      <x:c r="A157" s="9" t="n"/>
      <x:c r="B157" s="9" t="n"/>
      <x:c r="C157" s="29" t="n"/>
      <x:c r="D157" s="9" t="n"/>
      <x:c r="E157" s="9" t="n"/>
      <x:c r="F157" s="9" t="n"/>
      <x:c r="G157" s="9" t="n"/>
      <x:c r="H157" s="30">
        <x:f>IF($A157="","",Config!$B$4)</x:f>
      </x:c>
      <x:c r="I157" s="30">
        <x:f>IF($A157="","",IF(C157&gt;Config!$B$5,Config!$B$6,0))</x:f>
      </x:c>
      <x:c r="J157" s="30">
        <x:f>IF($A157="","",IF(F157="Yes",Config!$B$7,0))</x:f>
      </x:c>
      <x:c r="K157" s="30">
        <x:f>IF($A157="","",IF(OR(D157="proposal",D157="negotiation"),Config!$B$8,0))</x:f>
      </x:c>
      <x:c r="L157" s="30">
        <x:f>IF($A157="","",IF(E157&gt;Config!$B$9,Config!$B$10,0))</x:f>
      </x:c>
      <x:c r="M157" s="30">
        <x:f>IF($A157="","",IF(G157&gt;=Config!$B$11,Config!$B$12,0))</x:f>
      </x:c>
      <x:c r="N157" s="30">
        <x:f>IF($A157="","",SUM(H157:M157))</x:f>
      </x:c>
      <x:c r="O157" s="30">
        <x:f>IF($A157="","",MAX(0,MIN(Config!$B$13,N157)))</x:f>
      </x:c>
      <x:c r="P157" s="12">
        <x:f>IF($A157="","",O157/Config!$B$13)</x:f>
      </x:c>
      <x:c r="Q157" s="13">
        <x:f>IF($A157="","",IF(O157&gt;=Config!$B$14,"A",IF(O157&gt;=Config!$B$15,"B","C")))</x:f>
      </x:c>
      <x:c r="R157" s="13">
        <x:f>IF($A157="","",IF(O157&gt;=Config!$B$14,"Low",IF(O157&gt;=Config!$B$15,"Medium","High")))</x:f>
      </x:c>
      <x:c r="S157" s="13">
        <x:f>IF($A157="","",IF(F157="No","Mapear decisor e agendar reunião",IF(E157&gt;Config!$B$9,"Realizar follow-up estruturado",IF(R157="High","Reavaliar estratégia do deal","Avançar para próxima etapa"))))</x:f>
      </x:c>
      <x:c r="T157" s="13">
        <x:f>IF($A157="","","Score " &amp; O157 &amp; "/100; rating " &amp; Q157 &amp; "; friction " &amp; R157 &amp; ".")</x:f>
      </x:c>
    </x:row>
    <x:row r="158" ht="34" customHeight="1">
      <x:c r="A158" s="9" t="n"/>
      <x:c r="B158" s="9" t="n"/>
      <x:c r="C158" s="29" t="n"/>
      <x:c r="D158" s="9" t="n"/>
      <x:c r="E158" s="9" t="n"/>
      <x:c r="F158" s="9" t="n"/>
      <x:c r="G158" s="9" t="n"/>
      <x:c r="H158" s="30">
        <x:f>IF($A158="","",Config!$B$4)</x:f>
      </x:c>
      <x:c r="I158" s="30">
        <x:f>IF($A158="","",IF(C158&gt;Config!$B$5,Config!$B$6,0))</x:f>
      </x:c>
      <x:c r="J158" s="30">
        <x:f>IF($A158="","",IF(F158="Yes",Config!$B$7,0))</x:f>
      </x:c>
      <x:c r="K158" s="30">
        <x:f>IF($A158="","",IF(OR(D158="proposal",D158="negotiation"),Config!$B$8,0))</x:f>
      </x:c>
      <x:c r="L158" s="30">
        <x:f>IF($A158="","",IF(E158&gt;Config!$B$9,Config!$B$10,0))</x:f>
      </x:c>
      <x:c r="M158" s="30">
        <x:f>IF($A158="","",IF(G158&gt;=Config!$B$11,Config!$B$12,0))</x:f>
      </x:c>
      <x:c r="N158" s="30">
        <x:f>IF($A158="","",SUM(H158:M158))</x:f>
      </x:c>
      <x:c r="O158" s="30">
        <x:f>IF($A158="","",MAX(0,MIN(Config!$B$13,N158)))</x:f>
      </x:c>
      <x:c r="P158" s="12">
        <x:f>IF($A158="","",O158/Config!$B$13)</x:f>
      </x:c>
      <x:c r="Q158" s="13">
        <x:f>IF($A158="","",IF(O158&gt;=Config!$B$14,"A",IF(O158&gt;=Config!$B$15,"B","C")))</x:f>
      </x:c>
      <x:c r="R158" s="13">
        <x:f>IF($A158="","",IF(O158&gt;=Config!$B$14,"Low",IF(O158&gt;=Config!$B$15,"Medium","High")))</x:f>
      </x:c>
      <x:c r="S158" s="13">
        <x:f>IF($A158="","",IF(F158="No","Mapear decisor e agendar reunião",IF(E158&gt;Config!$B$9,"Realizar follow-up estruturado",IF(R158="High","Reavaliar estratégia do deal","Avançar para próxima etapa"))))</x:f>
      </x:c>
      <x:c r="T158" s="13">
        <x:f>IF($A158="","","Score " &amp; O158 &amp; "/100; rating " &amp; Q158 &amp; "; friction " &amp; R158 &amp; ".")</x:f>
      </x:c>
    </x:row>
    <x:row r="159" ht="34" customHeight="1">
      <x:c r="A159" s="9" t="n"/>
      <x:c r="B159" s="9" t="n"/>
      <x:c r="C159" s="29" t="n"/>
      <x:c r="D159" s="9" t="n"/>
      <x:c r="E159" s="9" t="n"/>
      <x:c r="F159" s="9" t="n"/>
      <x:c r="G159" s="9" t="n"/>
      <x:c r="H159" s="30">
        <x:f>IF($A159="","",Config!$B$4)</x:f>
      </x:c>
      <x:c r="I159" s="30">
        <x:f>IF($A159="","",IF(C159&gt;Config!$B$5,Config!$B$6,0))</x:f>
      </x:c>
      <x:c r="J159" s="30">
        <x:f>IF($A159="","",IF(F159="Yes",Config!$B$7,0))</x:f>
      </x:c>
      <x:c r="K159" s="30">
        <x:f>IF($A159="","",IF(OR(D159="proposal",D159="negotiation"),Config!$B$8,0))</x:f>
      </x:c>
      <x:c r="L159" s="30">
        <x:f>IF($A159="","",IF(E159&gt;Config!$B$9,Config!$B$10,0))</x:f>
      </x:c>
      <x:c r="M159" s="30">
        <x:f>IF($A159="","",IF(G159&gt;=Config!$B$11,Config!$B$12,0))</x:f>
      </x:c>
      <x:c r="N159" s="30">
        <x:f>IF($A159="","",SUM(H159:M159))</x:f>
      </x:c>
      <x:c r="O159" s="30">
        <x:f>IF($A159="","",MAX(0,MIN(Config!$B$13,N159)))</x:f>
      </x:c>
      <x:c r="P159" s="12">
        <x:f>IF($A159="","",O159/Config!$B$13)</x:f>
      </x:c>
      <x:c r="Q159" s="13">
        <x:f>IF($A159="","",IF(O159&gt;=Config!$B$14,"A",IF(O159&gt;=Config!$B$15,"B","C")))</x:f>
      </x:c>
      <x:c r="R159" s="13">
        <x:f>IF($A159="","",IF(O159&gt;=Config!$B$14,"Low",IF(O159&gt;=Config!$B$15,"Medium","High")))</x:f>
      </x:c>
      <x:c r="S159" s="13">
        <x:f>IF($A159="","",IF(F159="No","Mapear decisor e agendar reunião",IF(E159&gt;Config!$B$9,"Realizar follow-up estruturado",IF(R159="High","Reavaliar estratégia do deal","Avançar para próxima etapa"))))</x:f>
      </x:c>
      <x:c r="T159" s="13">
        <x:f>IF($A159="","","Score " &amp; O159 &amp; "/100; rating " &amp; Q159 &amp; "; friction " &amp; R159 &amp; ".")</x:f>
      </x:c>
    </x:row>
    <x:row r="160" ht="34" customHeight="1">
      <x:c r="A160" s="9" t="n"/>
      <x:c r="B160" s="9" t="n"/>
      <x:c r="C160" s="29" t="n"/>
      <x:c r="D160" s="9" t="n"/>
      <x:c r="E160" s="9" t="n"/>
      <x:c r="F160" s="9" t="n"/>
      <x:c r="G160" s="9" t="n"/>
      <x:c r="H160" s="30">
        <x:f>IF($A160="","",Config!$B$4)</x:f>
      </x:c>
      <x:c r="I160" s="30">
        <x:f>IF($A160="","",IF(C160&gt;Config!$B$5,Config!$B$6,0))</x:f>
      </x:c>
      <x:c r="J160" s="30">
        <x:f>IF($A160="","",IF(F160="Yes",Config!$B$7,0))</x:f>
      </x:c>
      <x:c r="K160" s="30">
        <x:f>IF($A160="","",IF(OR(D160="proposal",D160="negotiation"),Config!$B$8,0))</x:f>
      </x:c>
      <x:c r="L160" s="30">
        <x:f>IF($A160="","",IF(E160&gt;Config!$B$9,Config!$B$10,0))</x:f>
      </x:c>
      <x:c r="M160" s="30">
        <x:f>IF($A160="","",IF(G160&gt;=Config!$B$11,Config!$B$12,0))</x:f>
      </x:c>
      <x:c r="N160" s="30">
        <x:f>IF($A160="","",SUM(H160:M160))</x:f>
      </x:c>
      <x:c r="O160" s="30">
        <x:f>IF($A160="","",MAX(0,MIN(Config!$B$13,N160)))</x:f>
      </x:c>
      <x:c r="P160" s="12">
        <x:f>IF($A160="","",O160/Config!$B$13)</x:f>
      </x:c>
      <x:c r="Q160" s="13">
        <x:f>IF($A160="","",IF(O160&gt;=Config!$B$14,"A",IF(O160&gt;=Config!$B$15,"B","C")))</x:f>
      </x:c>
      <x:c r="R160" s="13">
        <x:f>IF($A160="","",IF(O160&gt;=Config!$B$14,"Low",IF(O160&gt;=Config!$B$15,"Medium","High")))</x:f>
      </x:c>
      <x:c r="S160" s="13">
        <x:f>IF($A160="","",IF(F160="No","Mapear decisor e agendar reunião",IF(E160&gt;Config!$B$9,"Realizar follow-up estruturado",IF(R160="High","Reavaliar estratégia do deal","Avançar para próxima etapa"))))</x:f>
      </x:c>
      <x:c r="T160" s="13">
        <x:f>IF($A160="","","Score " &amp; O160 &amp; "/100; rating " &amp; Q160 &amp; "; friction " &amp; R160 &amp; ".")</x:f>
      </x:c>
    </x:row>
    <x:row r="161" ht="34" customHeight="1">
      <x:c r="A161" s="9" t="n"/>
      <x:c r="B161" s="9" t="n"/>
      <x:c r="C161" s="29" t="n"/>
      <x:c r="D161" s="9" t="n"/>
      <x:c r="E161" s="9" t="n"/>
      <x:c r="F161" s="9" t="n"/>
      <x:c r="G161" s="9" t="n"/>
      <x:c r="H161" s="30">
        <x:f>IF($A161="","",Config!$B$4)</x:f>
      </x:c>
      <x:c r="I161" s="30">
        <x:f>IF($A161="","",IF(C161&gt;Config!$B$5,Config!$B$6,0))</x:f>
      </x:c>
      <x:c r="J161" s="30">
        <x:f>IF($A161="","",IF(F161="Yes",Config!$B$7,0))</x:f>
      </x:c>
      <x:c r="K161" s="30">
        <x:f>IF($A161="","",IF(OR(D161="proposal",D161="negotiation"),Config!$B$8,0))</x:f>
      </x:c>
      <x:c r="L161" s="30">
        <x:f>IF($A161="","",IF(E161&gt;Config!$B$9,Config!$B$10,0))</x:f>
      </x:c>
      <x:c r="M161" s="30">
        <x:f>IF($A161="","",IF(G161&gt;=Config!$B$11,Config!$B$12,0))</x:f>
      </x:c>
      <x:c r="N161" s="30">
        <x:f>IF($A161="","",SUM(H161:M161))</x:f>
      </x:c>
      <x:c r="O161" s="30">
        <x:f>IF($A161="","",MAX(0,MIN(Config!$B$13,N161)))</x:f>
      </x:c>
      <x:c r="P161" s="12">
        <x:f>IF($A161="","",O161/Config!$B$13)</x:f>
      </x:c>
      <x:c r="Q161" s="13">
        <x:f>IF($A161="","",IF(O161&gt;=Config!$B$14,"A",IF(O161&gt;=Config!$B$15,"B","C")))</x:f>
      </x:c>
      <x:c r="R161" s="13">
        <x:f>IF($A161="","",IF(O161&gt;=Config!$B$14,"Low",IF(O161&gt;=Config!$B$15,"Medium","High")))</x:f>
      </x:c>
      <x:c r="S161" s="13">
        <x:f>IF($A161="","",IF(F161="No","Mapear decisor e agendar reunião",IF(E161&gt;Config!$B$9,"Realizar follow-up estruturado",IF(R161="High","Reavaliar estratégia do deal","Avançar para próxima etapa"))))</x:f>
      </x:c>
      <x:c r="T161" s="13">
        <x:f>IF($A161="","","Score " &amp; O161 &amp; "/100; rating " &amp; Q161 &amp; "; friction " &amp; R161 &amp; ".")</x:f>
      </x:c>
    </x:row>
    <x:row r="162" ht="34" customHeight="1">
      <x:c r="A162" s="9" t="n"/>
      <x:c r="B162" s="9" t="n"/>
      <x:c r="C162" s="29" t="n"/>
      <x:c r="D162" s="9" t="n"/>
      <x:c r="E162" s="9" t="n"/>
      <x:c r="F162" s="9" t="n"/>
      <x:c r="G162" s="9" t="n"/>
      <x:c r="H162" s="30">
        <x:f>IF($A162="","",Config!$B$4)</x:f>
      </x:c>
      <x:c r="I162" s="30">
        <x:f>IF($A162="","",IF(C162&gt;Config!$B$5,Config!$B$6,0))</x:f>
      </x:c>
      <x:c r="J162" s="30">
        <x:f>IF($A162="","",IF(F162="Yes",Config!$B$7,0))</x:f>
      </x:c>
      <x:c r="K162" s="30">
        <x:f>IF($A162="","",IF(OR(D162="proposal",D162="negotiation"),Config!$B$8,0))</x:f>
      </x:c>
      <x:c r="L162" s="30">
        <x:f>IF($A162="","",IF(E162&gt;Config!$B$9,Config!$B$10,0))</x:f>
      </x:c>
      <x:c r="M162" s="30">
        <x:f>IF($A162="","",IF(G162&gt;=Config!$B$11,Config!$B$12,0))</x:f>
      </x:c>
      <x:c r="N162" s="30">
        <x:f>IF($A162="","",SUM(H162:M162))</x:f>
      </x:c>
      <x:c r="O162" s="30">
        <x:f>IF($A162="","",MAX(0,MIN(Config!$B$13,N162)))</x:f>
      </x:c>
      <x:c r="P162" s="12">
        <x:f>IF($A162="","",O162/Config!$B$13)</x:f>
      </x:c>
      <x:c r="Q162" s="13">
        <x:f>IF($A162="","",IF(O162&gt;=Config!$B$14,"A",IF(O162&gt;=Config!$B$15,"B","C")))</x:f>
      </x:c>
      <x:c r="R162" s="13">
        <x:f>IF($A162="","",IF(O162&gt;=Config!$B$14,"Low",IF(O162&gt;=Config!$B$15,"Medium","High")))</x:f>
      </x:c>
      <x:c r="S162" s="13">
        <x:f>IF($A162="","",IF(F162="No","Mapear decisor e agendar reunião",IF(E162&gt;Config!$B$9,"Realizar follow-up estruturado",IF(R162="High","Reavaliar estratégia do deal","Avançar para próxima etapa"))))</x:f>
      </x:c>
      <x:c r="T162" s="13">
        <x:f>IF($A162="","","Score " &amp; O162 &amp; "/100; rating " &amp; Q162 &amp; "; friction " &amp; R162 &amp; ".")</x:f>
      </x:c>
    </x:row>
    <x:row r="163" ht="34" customHeight="1">
      <x:c r="A163" s="9" t="n"/>
      <x:c r="B163" s="9" t="n"/>
      <x:c r="C163" s="29" t="n"/>
      <x:c r="D163" s="9" t="n"/>
      <x:c r="E163" s="9" t="n"/>
      <x:c r="F163" s="9" t="n"/>
      <x:c r="G163" s="9" t="n"/>
      <x:c r="H163" s="30">
        <x:f>IF($A163="","",Config!$B$4)</x:f>
      </x:c>
      <x:c r="I163" s="30">
        <x:f>IF($A163="","",IF(C163&gt;Config!$B$5,Config!$B$6,0))</x:f>
      </x:c>
      <x:c r="J163" s="30">
        <x:f>IF($A163="","",IF(F163="Yes",Config!$B$7,0))</x:f>
      </x:c>
      <x:c r="K163" s="30">
        <x:f>IF($A163="","",IF(OR(D163="proposal",D163="negotiation"),Config!$B$8,0))</x:f>
      </x:c>
      <x:c r="L163" s="30">
        <x:f>IF($A163="","",IF(E163&gt;Config!$B$9,Config!$B$10,0))</x:f>
      </x:c>
      <x:c r="M163" s="30">
        <x:f>IF($A163="","",IF(G163&gt;=Config!$B$11,Config!$B$12,0))</x:f>
      </x:c>
      <x:c r="N163" s="30">
        <x:f>IF($A163="","",SUM(H163:M163))</x:f>
      </x:c>
      <x:c r="O163" s="30">
        <x:f>IF($A163="","",MAX(0,MIN(Config!$B$13,N163)))</x:f>
      </x:c>
      <x:c r="P163" s="12">
        <x:f>IF($A163="","",O163/Config!$B$13)</x:f>
      </x:c>
      <x:c r="Q163" s="13">
        <x:f>IF($A163="","",IF(O163&gt;=Config!$B$14,"A",IF(O163&gt;=Config!$B$15,"B","C")))</x:f>
      </x:c>
      <x:c r="R163" s="13">
        <x:f>IF($A163="","",IF(O163&gt;=Config!$B$14,"Low",IF(O163&gt;=Config!$B$15,"Medium","High")))</x:f>
      </x:c>
      <x:c r="S163" s="13">
        <x:f>IF($A163="","",IF(F163="No","Mapear decisor e agendar reunião",IF(E163&gt;Config!$B$9,"Realizar follow-up estruturado",IF(R163="High","Reavaliar estratégia do deal","Avançar para próxima etapa"))))</x:f>
      </x:c>
      <x:c r="T163" s="13">
        <x:f>IF($A163="","","Score " &amp; O163 &amp; "/100; rating " &amp; Q163 &amp; "; friction " &amp; R163 &amp; ".")</x:f>
      </x:c>
    </x:row>
    <x:row r="164" ht="34" customHeight="1">
      <x:c r="A164" s="9" t="n"/>
      <x:c r="B164" s="9" t="n"/>
      <x:c r="C164" s="29" t="n"/>
      <x:c r="D164" s="9" t="n"/>
      <x:c r="E164" s="9" t="n"/>
      <x:c r="F164" s="9" t="n"/>
      <x:c r="G164" s="9" t="n"/>
      <x:c r="H164" s="30">
        <x:f>IF($A164="","",Config!$B$4)</x:f>
      </x:c>
      <x:c r="I164" s="30">
        <x:f>IF($A164="","",IF(C164&gt;Config!$B$5,Config!$B$6,0))</x:f>
      </x:c>
      <x:c r="J164" s="30">
        <x:f>IF($A164="","",IF(F164="Yes",Config!$B$7,0))</x:f>
      </x:c>
      <x:c r="K164" s="30">
        <x:f>IF($A164="","",IF(OR(D164="proposal",D164="negotiation"),Config!$B$8,0))</x:f>
      </x:c>
      <x:c r="L164" s="30">
        <x:f>IF($A164="","",IF(E164&gt;Config!$B$9,Config!$B$10,0))</x:f>
      </x:c>
      <x:c r="M164" s="30">
        <x:f>IF($A164="","",IF(G164&gt;=Config!$B$11,Config!$B$12,0))</x:f>
      </x:c>
      <x:c r="N164" s="30">
        <x:f>IF($A164="","",SUM(H164:M164))</x:f>
      </x:c>
      <x:c r="O164" s="30">
        <x:f>IF($A164="","",MAX(0,MIN(Config!$B$13,N164)))</x:f>
      </x:c>
      <x:c r="P164" s="12">
        <x:f>IF($A164="","",O164/Config!$B$13)</x:f>
      </x:c>
      <x:c r="Q164" s="13">
        <x:f>IF($A164="","",IF(O164&gt;=Config!$B$14,"A",IF(O164&gt;=Config!$B$15,"B","C")))</x:f>
      </x:c>
      <x:c r="R164" s="13">
        <x:f>IF($A164="","",IF(O164&gt;=Config!$B$14,"Low",IF(O164&gt;=Config!$B$15,"Medium","High")))</x:f>
      </x:c>
      <x:c r="S164" s="13">
        <x:f>IF($A164="","",IF(F164="No","Mapear decisor e agendar reunião",IF(E164&gt;Config!$B$9,"Realizar follow-up estruturado",IF(R164="High","Reavaliar estratégia do deal","Avançar para próxima etapa"))))</x:f>
      </x:c>
      <x:c r="T164" s="13">
        <x:f>IF($A164="","","Score " &amp; O164 &amp; "/100; rating " &amp; Q164 &amp; "; friction " &amp; R164 &amp; ".")</x:f>
      </x:c>
    </x:row>
    <x:row r="165" ht="34" customHeight="1">
      <x:c r="A165" s="9" t="n"/>
      <x:c r="B165" s="9" t="n"/>
      <x:c r="C165" s="29" t="n"/>
      <x:c r="D165" s="9" t="n"/>
      <x:c r="E165" s="9" t="n"/>
      <x:c r="F165" s="9" t="n"/>
      <x:c r="G165" s="9" t="n"/>
      <x:c r="H165" s="30">
        <x:f>IF($A165="","",Config!$B$4)</x:f>
      </x:c>
      <x:c r="I165" s="30">
        <x:f>IF($A165="","",IF(C165&gt;Config!$B$5,Config!$B$6,0))</x:f>
      </x:c>
      <x:c r="J165" s="30">
        <x:f>IF($A165="","",IF(F165="Yes",Config!$B$7,0))</x:f>
      </x:c>
      <x:c r="K165" s="30">
        <x:f>IF($A165="","",IF(OR(D165="proposal",D165="negotiation"),Config!$B$8,0))</x:f>
      </x:c>
      <x:c r="L165" s="30">
        <x:f>IF($A165="","",IF(E165&gt;Config!$B$9,Config!$B$10,0))</x:f>
      </x:c>
      <x:c r="M165" s="30">
        <x:f>IF($A165="","",IF(G165&gt;=Config!$B$11,Config!$B$12,0))</x:f>
      </x:c>
      <x:c r="N165" s="30">
        <x:f>IF($A165="","",SUM(H165:M165))</x:f>
      </x:c>
      <x:c r="O165" s="30">
        <x:f>IF($A165="","",MAX(0,MIN(Config!$B$13,N165)))</x:f>
      </x:c>
      <x:c r="P165" s="12">
        <x:f>IF($A165="","",O165/Config!$B$13)</x:f>
      </x:c>
      <x:c r="Q165" s="13">
        <x:f>IF($A165="","",IF(O165&gt;=Config!$B$14,"A",IF(O165&gt;=Config!$B$15,"B","C")))</x:f>
      </x:c>
      <x:c r="R165" s="13">
        <x:f>IF($A165="","",IF(O165&gt;=Config!$B$14,"Low",IF(O165&gt;=Config!$B$15,"Medium","High")))</x:f>
      </x:c>
      <x:c r="S165" s="13">
        <x:f>IF($A165="","",IF(F165="No","Mapear decisor e agendar reunião",IF(E165&gt;Config!$B$9,"Realizar follow-up estruturado",IF(R165="High","Reavaliar estratégia do deal","Avançar para próxima etapa"))))</x:f>
      </x:c>
      <x:c r="T165" s="13">
        <x:f>IF($A165="","","Score " &amp; O165 &amp; "/100; rating " &amp; Q165 &amp; "; friction " &amp; R165 &amp; ".")</x:f>
      </x:c>
    </x:row>
    <x:row r="166" ht="34" customHeight="1">
      <x:c r="A166" s="9" t="n"/>
      <x:c r="B166" s="9" t="n"/>
      <x:c r="C166" s="29" t="n"/>
      <x:c r="D166" s="9" t="n"/>
      <x:c r="E166" s="9" t="n"/>
      <x:c r="F166" s="9" t="n"/>
      <x:c r="G166" s="9" t="n"/>
      <x:c r="H166" s="30">
        <x:f>IF($A166="","",Config!$B$4)</x:f>
      </x:c>
      <x:c r="I166" s="30">
        <x:f>IF($A166="","",IF(C166&gt;Config!$B$5,Config!$B$6,0))</x:f>
      </x:c>
      <x:c r="J166" s="30">
        <x:f>IF($A166="","",IF(F166="Yes",Config!$B$7,0))</x:f>
      </x:c>
      <x:c r="K166" s="30">
        <x:f>IF($A166="","",IF(OR(D166="proposal",D166="negotiation"),Config!$B$8,0))</x:f>
      </x:c>
      <x:c r="L166" s="30">
        <x:f>IF($A166="","",IF(E166&gt;Config!$B$9,Config!$B$10,0))</x:f>
      </x:c>
      <x:c r="M166" s="30">
        <x:f>IF($A166="","",IF(G166&gt;=Config!$B$11,Config!$B$12,0))</x:f>
      </x:c>
      <x:c r="N166" s="30">
        <x:f>IF($A166="","",SUM(H166:M166))</x:f>
      </x:c>
      <x:c r="O166" s="30">
        <x:f>IF($A166="","",MAX(0,MIN(Config!$B$13,N166)))</x:f>
      </x:c>
      <x:c r="P166" s="12">
        <x:f>IF($A166="","",O166/Config!$B$13)</x:f>
      </x:c>
      <x:c r="Q166" s="13">
        <x:f>IF($A166="","",IF(O166&gt;=Config!$B$14,"A",IF(O166&gt;=Config!$B$15,"B","C")))</x:f>
      </x:c>
      <x:c r="R166" s="13">
        <x:f>IF($A166="","",IF(O166&gt;=Config!$B$14,"Low",IF(O166&gt;=Config!$B$15,"Medium","High")))</x:f>
      </x:c>
      <x:c r="S166" s="13">
        <x:f>IF($A166="","",IF(F166="No","Mapear decisor e agendar reunião",IF(E166&gt;Config!$B$9,"Realizar follow-up estruturado",IF(R166="High","Reavaliar estratégia do deal","Avançar para próxima etapa"))))</x:f>
      </x:c>
      <x:c r="T166" s="13">
        <x:f>IF($A166="","","Score " &amp; O166 &amp; "/100; rating " &amp; Q166 &amp; "; friction " &amp; R166 &amp; ".")</x:f>
      </x:c>
    </x:row>
    <x:row r="167" ht="34" customHeight="1">
      <x:c r="A167" s="9" t="n"/>
      <x:c r="B167" s="9" t="n"/>
      <x:c r="C167" s="29" t="n"/>
      <x:c r="D167" s="9" t="n"/>
      <x:c r="E167" s="9" t="n"/>
      <x:c r="F167" s="9" t="n"/>
      <x:c r="G167" s="9" t="n"/>
      <x:c r="H167" s="30">
        <x:f>IF($A167="","",Config!$B$4)</x:f>
      </x:c>
      <x:c r="I167" s="30">
        <x:f>IF($A167="","",IF(C167&gt;Config!$B$5,Config!$B$6,0))</x:f>
      </x:c>
      <x:c r="J167" s="30">
        <x:f>IF($A167="","",IF(F167="Yes",Config!$B$7,0))</x:f>
      </x:c>
      <x:c r="K167" s="30">
        <x:f>IF($A167="","",IF(OR(D167="proposal",D167="negotiation"),Config!$B$8,0))</x:f>
      </x:c>
      <x:c r="L167" s="30">
        <x:f>IF($A167="","",IF(E167&gt;Config!$B$9,Config!$B$10,0))</x:f>
      </x:c>
      <x:c r="M167" s="30">
        <x:f>IF($A167="","",IF(G167&gt;=Config!$B$11,Config!$B$12,0))</x:f>
      </x:c>
      <x:c r="N167" s="30">
        <x:f>IF($A167="","",SUM(H167:M167))</x:f>
      </x:c>
      <x:c r="O167" s="30">
        <x:f>IF($A167="","",MAX(0,MIN(Config!$B$13,N167)))</x:f>
      </x:c>
      <x:c r="P167" s="12">
        <x:f>IF($A167="","",O167/Config!$B$13)</x:f>
      </x:c>
      <x:c r="Q167" s="13">
        <x:f>IF($A167="","",IF(O167&gt;=Config!$B$14,"A",IF(O167&gt;=Config!$B$15,"B","C")))</x:f>
      </x:c>
      <x:c r="R167" s="13">
        <x:f>IF($A167="","",IF(O167&gt;=Config!$B$14,"Low",IF(O167&gt;=Config!$B$15,"Medium","High")))</x:f>
      </x:c>
      <x:c r="S167" s="13">
        <x:f>IF($A167="","",IF(F167="No","Mapear decisor e agendar reunião",IF(E167&gt;Config!$B$9,"Realizar follow-up estruturado",IF(R167="High","Reavaliar estratégia do deal","Avançar para próxima etapa"))))</x:f>
      </x:c>
      <x:c r="T167" s="13">
        <x:f>IF($A167="","","Score " &amp; O167 &amp; "/100; rating " &amp; Q167 &amp; "; friction " &amp; R167 &amp; ".")</x:f>
      </x:c>
    </x:row>
    <x:row r="168" ht="34" customHeight="1">
      <x:c r="A168" s="9" t="n"/>
      <x:c r="B168" s="9" t="n"/>
      <x:c r="C168" s="29" t="n"/>
      <x:c r="D168" s="9" t="n"/>
      <x:c r="E168" s="9" t="n"/>
      <x:c r="F168" s="9" t="n"/>
      <x:c r="G168" s="9" t="n"/>
      <x:c r="H168" s="30">
        <x:f>IF($A168="","",Config!$B$4)</x:f>
      </x:c>
      <x:c r="I168" s="30">
        <x:f>IF($A168="","",IF(C168&gt;Config!$B$5,Config!$B$6,0))</x:f>
      </x:c>
      <x:c r="J168" s="30">
        <x:f>IF($A168="","",IF(F168="Yes",Config!$B$7,0))</x:f>
      </x:c>
      <x:c r="K168" s="30">
        <x:f>IF($A168="","",IF(OR(D168="proposal",D168="negotiation"),Config!$B$8,0))</x:f>
      </x:c>
      <x:c r="L168" s="30">
        <x:f>IF($A168="","",IF(E168&gt;Config!$B$9,Config!$B$10,0))</x:f>
      </x:c>
      <x:c r="M168" s="30">
        <x:f>IF($A168="","",IF(G168&gt;=Config!$B$11,Config!$B$12,0))</x:f>
      </x:c>
      <x:c r="N168" s="30">
        <x:f>IF($A168="","",SUM(H168:M168))</x:f>
      </x:c>
      <x:c r="O168" s="30">
        <x:f>IF($A168="","",MAX(0,MIN(Config!$B$13,N168)))</x:f>
      </x:c>
      <x:c r="P168" s="12">
        <x:f>IF($A168="","",O168/Config!$B$13)</x:f>
      </x:c>
      <x:c r="Q168" s="13">
        <x:f>IF($A168="","",IF(O168&gt;=Config!$B$14,"A",IF(O168&gt;=Config!$B$15,"B","C")))</x:f>
      </x:c>
      <x:c r="R168" s="13">
        <x:f>IF($A168="","",IF(O168&gt;=Config!$B$14,"Low",IF(O168&gt;=Config!$B$15,"Medium","High")))</x:f>
      </x:c>
      <x:c r="S168" s="13">
        <x:f>IF($A168="","",IF(F168="No","Mapear decisor e agendar reunião",IF(E168&gt;Config!$B$9,"Realizar follow-up estruturado",IF(R168="High","Reavaliar estratégia do deal","Avançar para próxima etapa"))))</x:f>
      </x:c>
      <x:c r="T168" s="13">
        <x:f>IF($A168="","","Score " &amp; O168 &amp; "/100; rating " &amp; Q168 &amp; "; friction " &amp; R168 &amp; ".")</x:f>
      </x:c>
    </x:row>
    <x:row r="169" ht="34" customHeight="1">
      <x:c r="A169" s="9" t="n"/>
      <x:c r="B169" s="9" t="n"/>
      <x:c r="C169" s="29" t="n"/>
      <x:c r="D169" s="9" t="n"/>
      <x:c r="E169" s="9" t="n"/>
      <x:c r="F169" s="9" t="n"/>
      <x:c r="G169" s="9" t="n"/>
      <x:c r="H169" s="30">
        <x:f>IF($A169="","",Config!$B$4)</x:f>
      </x:c>
      <x:c r="I169" s="30">
        <x:f>IF($A169="","",IF(C169&gt;Config!$B$5,Config!$B$6,0))</x:f>
      </x:c>
      <x:c r="J169" s="30">
        <x:f>IF($A169="","",IF(F169="Yes",Config!$B$7,0))</x:f>
      </x:c>
      <x:c r="K169" s="30">
        <x:f>IF($A169="","",IF(OR(D169="proposal",D169="negotiation"),Config!$B$8,0))</x:f>
      </x:c>
      <x:c r="L169" s="30">
        <x:f>IF($A169="","",IF(E169&gt;Config!$B$9,Config!$B$10,0))</x:f>
      </x:c>
      <x:c r="M169" s="30">
        <x:f>IF($A169="","",IF(G169&gt;=Config!$B$11,Config!$B$12,0))</x:f>
      </x:c>
      <x:c r="N169" s="30">
        <x:f>IF($A169="","",SUM(H169:M169))</x:f>
      </x:c>
      <x:c r="O169" s="30">
        <x:f>IF($A169="","",MAX(0,MIN(Config!$B$13,N169)))</x:f>
      </x:c>
      <x:c r="P169" s="12">
        <x:f>IF($A169="","",O169/Config!$B$13)</x:f>
      </x:c>
      <x:c r="Q169" s="13">
        <x:f>IF($A169="","",IF(O169&gt;=Config!$B$14,"A",IF(O169&gt;=Config!$B$15,"B","C")))</x:f>
      </x:c>
      <x:c r="R169" s="13">
        <x:f>IF($A169="","",IF(O169&gt;=Config!$B$14,"Low",IF(O169&gt;=Config!$B$15,"Medium","High")))</x:f>
      </x:c>
      <x:c r="S169" s="13">
        <x:f>IF($A169="","",IF(F169="No","Mapear decisor e agendar reunião",IF(E169&gt;Config!$B$9,"Realizar follow-up estruturado",IF(R169="High","Reavaliar estratégia do deal","Avançar para próxima etapa"))))</x:f>
      </x:c>
      <x:c r="T169" s="13">
        <x:f>IF($A169="","","Score " &amp; O169 &amp; "/100; rating " &amp; Q169 &amp; "; friction " &amp; R169 &amp; ".")</x:f>
      </x:c>
    </x:row>
    <x:row r="170" ht="34" customHeight="1">
      <x:c r="A170" s="9" t="n"/>
      <x:c r="B170" s="9" t="n"/>
      <x:c r="C170" s="29" t="n"/>
      <x:c r="D170" s="9" t="n"/>
      <x:c r="E170" s="9" t="n"/>
      <x:c r="F170" s="9" t="n"/>
      <x:c r="G170" s="9" t="n"/>
      <x:c r="H170" s="30">
        <x:f>IF($A170="","",Config!$B$4)</x:f>
      </x:c>
      <x:c r="I170" s="30">
        <x:f>IF($A170="","",IF(C170&gt;Config!$B$5,Config!$B$6,0))</x:f>
      </x:c>
      <x:c r="J170" s="30">
        <x:f>IF($A170="","",IF(F170="Yes",Config!$B$7,0))</x:f>
      </x:c>
      <x:c r="K170" s="30">
        <x:f>IF($A170="","",IF(OR(D170="proposal",D170="negotiation"),Config!$B$8,0))</x:f>
      </x:c>
      <x:c r="L170" s="30">
        <x:f>IF($A170="","",IF(E170&gt;Config!$B$9,Config!$B$10,0))</x:f>
      </x:c>
      <x:c r="M170" s="30">
        <x:f>IF($A170="","",IF(G170&gt;=Config!$B$11,Config!$B$12,0))</x:f>
      </x:c>
      <x:c r="N170" s="30">
        <x:f>IF($A170="","",SUM(H170:M170))</x:f>
      </x:c>
      <x:c r="O170" s="30">
        <x:f>IF($A170="","",MAX(0,MIN(Config!$B$13,N170)))</x:f>
      </x:c>
      <x:c r="P170" s="12">
        <x:f>IF($A170="","",O170/Config!$B$13)</x:f>
      </x:c>
      <x:c r="Q170" s="13">
        <x:f>IF($A170="","",IF(O170&gt;=Config!$B$14,"A",IF(O170&gt;=Config!$B$15,"B","C")))</x:f>
      </x:c>
      <x:c r="R170" s="13">
        <x:f>IF($A170="","",IF(O170&gt;=Config!$B$14,"Low",IF(O170&gt;=Config!$B$15,"Medium","High")))</x:f>
      </x:c>
      <x:c r="S170" s="13">
        <x:f>IF($A170="","",IF(F170="No","Mapear decisor e agendar reunião",IF(E170&gt;Config!$B$9,"Realizar follow-up estruturado",IF(R170="High","Reavaliar estratégia do deal","Avançar para próxima etapa"))))</x:f>
      </x:c>
      <x:c r="T170" s="13">
        <x:f>IF($A170="","","Score " &amp; O170 &amp; "/100; rating " &amp; Q170 &amp; "; friction " &amp; R170 &amp; ".")</x:f>
      </x:c>
    </x:row>
    <x:row r="171" ht="34" customHeight="1">
      <x:c r="A171" s="9" t="n"/>
      <x:c r="B171" s="9" t="n"/>
      <x:c r="C171" s="29" t="n"/>
      <x:c r="D171" s="9" t="n"/>
      <x:c r="E171" s="9" t="n"/>
      <x:c r="F171" s="9" t="n"/>
      <x:c r="G171" s="9" t="n"/>
      <x:c r="H171" s="30">
        <x:f>IF($A171="","",Config!$B$4)</x:f>
      </x:c>
      <x:c r="I171" s="30">
        <x:f>IF($A171="","",IF(C171&gt;Config!$B$5,Config!$B$6,0))</x:f>
      </x:c>
      <x:c r="J171" s="30">
        <x:f>IF($A171="","",IF(F171="Yes",Config!$B$7,0))</x:f>
      </x:c>
      <x:c r="K171" s="30">
        <x:f>IF($A171="","",IF(OR(D171="proposal",D171="negotiation"),Config!$B$8,0))</x:f>
      </x:c>
      <x:c r="L171" s="30">
        <x:f>IF($A171="","",IF(E171&gt;Config!$B$9,Config!$B$10,0))</x:f>
      </x:c>
      <x:c r="M171" s="30">
        <x:f>IF($A171="","",IF(G171&gt;=Config!$B$11,Config!$B$12,0))</x:f>
      </x:c>
      <x:c r="N171" s="30">
        <x:f>IF($A171="","",SUM(H171:M171))</x:f>
      </x:c>
      <x:c r="O171" s="30">
        <x:f>IF($A171="","",MAX(0,MIN(Config!$B$13,N171)))</x:f>
      </x:c>
      <x:c r="P171" s="12">
        <x:f>IF($A171="","",O171/Config!$B$13)</x:f>
      </x:c>
      <x:c r="Q171" s="13">
        <x:f>IF($A171="","",IF(O171&gt;=Config!$B$14,"A",IF(O171&gt;=Config!$B$15,"B","C")))</x:f>
      </x:c>
      <x:c r="R171" s="13">
        <x:f>IF($A171="","",IF(O171&gt;=Config!$B$14,"Low",IF(O171&gt;=Config!$B$15,"Medium","High")))</x:f>
      </x:c>
      <x:c r="S171" s="13">
        <x:f>IF($A171="","",IF(F171="No","Mapear decisor e agendar reunião",IF(E171&gt;Config!$B$9,"Realizar follow-up estruturado",IF(R171="High","Reavaliar estratégia do deal","Avançar para próxima etapa"))))</x:f>
      </x:c>
      <x:c r="T171" s="13">
        <x:f>IF($A171="","","Score " &amp; O171 &amp; "/100; rating " &amp; Q171 &amp; "; friction " &amp; R171 &amp; ".")</x:f>
      </x:c>
    </x:row>
    <x:row r="172" ht="34" customHeight="1">
      <x:c r="A172" s="9" t="n"/>
      <x:c r="B172" s="9" t="n"/>
      <x:c r="C172" s="29" t="n"/>
      <x:c r="D172" s="9" t="n"/>
      <x:c r="E172" s="9" t="n"/>
      <x:c r="F172" s="9" t="n"/>
      <x:c r="G172" s="9" t="n"/>
      <x:c r="H172" s="30">
        <x:f>IF($A172="","",Config!$B$4)</x:f>
      </x:c>
      <x:c r="I172" s="30">
        <x:f>IF($A172="","",IF(C172&gt;Config!$B$5,Config!$B$6,0))</x:f>
      </x:c>
      <x:c r="J172" s="30">
        <x:f>IF($A172="","",IF(F172="Yes",Config!$B$7,0))</x:f>
      </x:c>
      <x:c r="K172" s="30">
        <x:f>IF($A172="","",IF(OR(D172="proposal",D172="negotiation"),Config!$B$8,0))</x:f>
      </x:c>
      <x:c r="L172" s="30">
        <x:f>IF($A172="","",IF(E172&gt;Config!$B$9,Config!$B$10,0))</x:f>
      </x:c>
      <x:c r="M172" s="30">
        <x:f>IF($A172="","",IF(G172&gt;=Config!$B$11,Config!$B$12,0))</x:f>
      </x:c>
      <x:c r="N172" s="30">
        <x:f>IF($A172="","",SUM(H172:M172))</x:f>
      </x:c>
      <x:c r="O172" s="30">
        <x:f>IF($A172="","",MAX(0,MIN(Config!$B$13,N172)))</x:f>
      </x:c>
      <x:c r="P172" s="12">
        <x:f>IF($A172="","",O172/Config!$B$13)</x:f>
      </x:c>
      <x:c r="Q172" s="13">
        <x:f>IF($A172="","",IF(O172&gt;=Config!$B$14,"A",IF(O172&gt;=Config!$B$15,"B","C")))</x:f>
      </x:c>
      <x:c r="R172" s="13">
        <x:f>IF($A172="","",IF(O172&gt;=Config!$B$14,"Low",IF(O172&gt;=Config!$B$15,"Medium","High")))</x:f>
      </x:c>
      <x:c r="S172" s="13">
        <x:f>IF($A172="","",IF(F172="No","Mapear decisor e agendar reunião",IF(E172&gt;Config!$B$9,"Realizar follow-up estruturado",IF(R172="High","Reavaliar estratégia do deal","Avançar para próxima etapa"))))</x:f>
      </x:c>
      <x:c r="T172" s="13">
        <x:f>IF($A172="","","Score " &amp; O172 &amp; "/100; rating " &amp; Q172 &amp; "; friction " &amp; R172 &amp; ".")</x:f>
      </x:c>
    </x:row>
    <x:row r="173" ht="34" customHeight="1">
      <x:c r="A173" s="9" t="n"/>
      <x:c r="B173" s="9" t="n"/>
      <x:c r="C173" s="29" t="n"/>
      <x:c r="D173" s="9" t="n"/>
      <x:c r="E173" s="9" t="n"/>
      <x:c r="F173" s="9" t="n"/>
      <x:c r="G173" s="9" t="n"/>
      <x:c r="H173" s="30">
        <x:f>IF($A173="","",Config!$B$4)</x:f>
      </x:c>
      <x:c r="I173" s="30">
        <x:f>IF($A173="","",IF(C173&gt;Config!$B$5,Config!$B$6,0))</x:f>
      </x:c>
      <x:c r="J173" s="30">
        <x:f>IF($A173="","",IF(F173="Yes",Config!$B$7,0))</x:f>
      </x:c>
      <x:c r="K173" s="30">
        <x:f>IF($A173="","",IF(OR(D173="proposal",D173="negotiation"),Config!$B$8,0))</x:f>
      </x:c>
      <x:c r="L173" s="30">
        <x:f>IF($A173="","",IF(E173&gt;Config!$B$9,Config!$B$10,0))</x:f>
      </x:c>
      <x:c r="M173" s="30">
        <x:f>IF($A173="","",IF(G173&gt;=Config!$B$11,Config!$B$12,0))</x:f>
      </x:c>
      <x:c r="N173" s="30">
        <x:f>IF($A173="","",SUM(H173:M173))</x:f>
      </x:c>
      <x:c r="O173" s="30">
        <x:f>IF($A173="","",MAX(0,MIN(Config!$B$13,N173)))</x:f>
      </x:c>
      <x:c r="P173" s="12">
        <x:f>IF($A173="","",O173/Config!$B$13)</x:f>
      </x:c>
      <x:c r="Q173" s="13">
        <x:f>IF($A173="","",IF(O173&gt;=Config!$B$14,"A",IF(O173&gt;=Config!$B$15,"B","C")))</x:f>
      </x:c>
      <x:c r="R173" s="13">
        <x:f>IF($A173="","",IF(O173&gt;=Config!$B$14,"Low",IF(O173&gt;=Config!$B$15,"Medium","High")))</x:f>
      </x:c>
      <x:c r="S173" s="13">
        <x:f>IF($A173="","",IF(F173="No","Mapear decisor e agendar reunião",IF(E173&gt;Config!$B$9,"Realizar follow-up estruturado",IF(R173="High","Reavaliar estratégia do deal","Avançar para próxima etapa"))))</x:f>
      </x:c>
      <x:c r="T173" s="13">
        <x:f>IF($A173="","","Score " &amp; O173 &amp; "/100; rating " &amp; Q173 &amp; "; friction " &amp; R173 &amp; ".")</x:f>
      </x:c>
    </x:row>
    <x:row r="174" ht="34" customHeight="1">
      <x:c r="A174" s="9" t="n"/>
      <x:c r="B174" s="9" t="n"/>
      <x:c r="C174" s="29" t="n"/>
      <x:c r="D174" s="9" t="n"/>
      <x:c r="E174" s="9" t="n"/>
      <x:c r="F174" s="9" t="n"/>
      <x:c r="G174" s="9" t="n"/>
      <x:c r="H174" s="30">
        <x:f>IF($A174="","",Config!$B$4)</x:f>
      </x:c>
      <x:c r="I174" s="30">
        <x:f>IF($A174="","",IF(C174&gt;Config!$B$5,Config!$B$6,0))</x:f>
      </x:c>
      <x:c r="J174" s="30">
        <x:f>IF($A174="","",IF(F174="Yes",Config!$B$7,0))</x:f>
      </x:c>
      <x:c r="K174" s="30">
        <x:f>IF($A174="","",IF(OR(D174="proposal",D174="negotiation"),Config!$B$8,0))</x:f>
      </x:c>
      <x:c r="L174" s="30">
        <x:f>IF($A174="","",IF(E174&gt;Config!$B$9,Config!$B$10,0))</x:f>
      </x:c>
      <x:c r="M174" s="30">
        <x:f>IF($A174="","",IF(G174&gt;=Config!$B$11,Config!$B$12,0))</x:f>
      </x:c>
      <x:c r="N174" s="30">
        <x:f>IF($A174="","",SUM(H174:M174))</x:f>
      </x:c>
      <x:c r="O174" s="30">
        <x:f>IF($A174="","",MAX(0,MIN(Config!$B$13,N174)))</x:f>
      </x:c>
      <x:c r="P174" s="12">
        <x:f>IF($A174="","",O174/Config!$B$13)</x:f>
      </x:c>
      <x:c r="Q174" s="13">
        <x:f>IF($A174="","",IF(O174&gt;=Config!$B$14,"A",IF(O174&gt;=Config!$B$15,"B","C")))</x:f>
      </x:c>
      <x:c r="R174" s="13">
        <x:f>IF($A174="","",IF(O174&gt;=Config!$B$14,"Low",IF(O174&gt;=Config!$B$15,"Medium","High")))</x:f>
      </x:c>
      <x:c r="S174" s="13">
        <x:f>IF($A174="","",IF(F174="No","Mapear decisor e agendar reunião",IF(E174&gt;Config!$B$9,"Realizar follow-up estruturado",IF(R174="High","Reavaliar estratégia do deal","Avançar para próxima etapa"))))</x:f>
      </x:c>
      <x:c r="T174" s="13">
        <x:f>IF($A174="","","Score " &amp; O174 &amp; "/100; rating " &amp; Q174 &amp; "; friction " &amp; R174 &amp; ".")</x:f>
      </x:c>
    </x:row>
    <x:row r="175" ht="34" customHeight="1">
      <x:c r="A175" s="9" t="n"/>
      <x:c r="B175" s="9" t="n"/>
      <x:c r="C175" s="29" t="n"/>
      <x:c r="D175" s="9" t="n"/>
      <x:c r="E175" s="9" t="n"/>
      <x:c r="F175" s="9" t="n"/>
      <x:c r="G175" s="9" t="n"/>
      <x:c r="H175" s="30">
        <x:f>IF($A175="","",Config!$B$4)</x:f>
      </x:c>
      <x:c r="I175" s="30">
        <x:f>IF($A175="","",IF(C175&gt;Config!$B$5,Config!$B$6,0))</x:f>
      </x:c>
      <x:c r="J175" s="30">
        <x:f>IF($A175="","",IF(F175="Yes",Config!$B$7,0))</x:f>
      </x:c>
      <x:c r="K175" s="30">
        <x:f>IF($A175="","",IF(OR(D175="proposal",D175="negotiation"),Config!$B$8,0))</x:f>
      </x:c>
      <x:c r="L175" s="30">
        <x:f>IF($A175="","",IF(E175&gt;Config!$B$9,Config!$B$10,0))</x:f>
      </x:c>
      <x:c r="M175" s="30">
        <x:f>IF($A175="","",IF(G175&gt;=Config!$B$11,Config!$B$12,0))</x:f>
      </x:c>
      <x:c r="N175" s="30">
        <x:f>IF($A175="","",SUM(H175:M175))</x:f>
      </x:c>
      <x:c r="O175" s="30">
        <x:f>IF($A175="","",MAX(0,MIN(Config!$B$13,N175)))</x:f>
      </x:c>
      <x:c r="P175" s="12">
        <x:f>IF($A175="","",O175/Config!$B$13)</x:f>
      </x:c>
      <x:c r="Q175" s="13">
        <x:f>IF($A175="","",IF(O175&gt;=Config!$B$14,"A",IF(O175&gt;=Config!$B$15,"B","C")))</x:f>
      </x:c>
      <x:c r="R175" s="13">
        <x:f>IF($A175="","",IF(O175&gt;=Config!$B$14,"Low",IF(O175&gt;=Config!$B$15,"Medium","High")))</x:f>
      </x:c>
      <x:c r="S175" s="13">
        <x:f>IF($A175="","",IF(F175="No","Mapear decisor e agendar reunião",IF(E175&gt;Config!$B$9,"Realizar follow-up estruturado",IF(R175="High","Reavaliar estratégia do deal","Avançar para próxima etapa"))))</x:f>
      </x:c>
      <x:c r="T175" s="13">
        <x:f>IF($A175="","","Score " &amp; O175 &amp; "/100; rating " &amp; Q175 &amp; "; friction " &amp; R175 &amp; ".")</x:f>
      </x:c>
    </x:row>
    <x:row r="176" ht="34" customHeight="1">
      <x:c r="A176" s="9" t="n"/>
      <x:c r="B176" s="9" t="n"/>
      <x:c r="C176" s="29" t="n"/>
      <x:c r="D176" s="9" t="n"/>
      <x:c r="E176" s="9" t="n"/>
      <x:c r="F176" s="9" t="n"/>
      <x:c r="G176" s="9" t="n"/>
      <x:c r="H176" s="30">
        <x:f>IF($A176="","",Config!$B$4)</x:f>
      </x:c>
      <x:c r="I176" s="30">
        <x:f>IF($A176="","",IF(C176&gt;Config!$B$5,Config!$B$6,0))</x:f>
      </x:c>
      <x:c r="J176" s="30">
        <x:f>IF($A176="","",IF(F176="Yes",Config!$B$7,0))</x:f>
      </x:c>
      <x:c r="K176" s="30">
        <x:f>IF($A176="","",IF(OR(D176="proposal",D176="negotiation"),Config!$B$8,0))</x:f>
      </x:c>
      <x:c r="L176" s="30">
        <x:f>IF($A176="","",IF(E176&gt;Config!$B$9,Config!$B$10,0))</x:f>
      </x:c>
      <x:c r="M176" s="30">
        <x:f>IF($A176="","",IF(G176&gt;=Config!$B$11,Config!$B$12,0))</x:f>
      </x:c>
      <x:c r="N176" s="30">
        <x:f>IF($A176="","",SUM(H176:M176))</x:f>
      </x:c>
      <x:c r="O176" s="30">
        <x:f>IF($A176="","",MAX(0,MIN(Config!$B$13,N176)))</x:f>
      </x:c>
      <x:c r="P176" s="12">
        <x:f>IF($A176="","",O176/Config!$B$13)</x:f>
      </x:c>
      <x:c r="Q176" s="13">
        <x:f>IF($A176="","",IF(O176&gt;=Config!$B$14,"A",IF(O176&gt;=Config!$B$15,"B","C")))</x:f>
      </x:c>
      <x:c r="R176" s="13">
        <x:f>IF($A176="","",IF(O176&gt;=Config!$B$14,"Low",IF(O176&gt;=Config!$B$15,"Medium","High")))</x:f>
      </x:c>
      <x:c r="S176" s="13">
        <x:f>IF($A176="","",IF(F176="No","Mapear decisor e agendar reunião",IF(E176&gt;Config!$B$9,"Realizar follow-up estruturado",IF(R176="High","Reavaliar estratégia do deal","Avançar para próxima etapa"))))</x:f>
      </x:c>
      <x:c r="T176" s="13">
        <x:f>IF($A176="","","Score " &amp; O176 &amp; "/100; rating " &amp; Q176 &amp; "; friction " &amp; R176 &amp; ".")</x:f>
      </x:c>
    </x:row>
    <x:row r="177" ht="34" customHeight="1">
      <x:c r="A177" s="9" t="n"/>
      <x:c r="B177" s="9" t="n"/>
      <x:c r="C177" s="29" t="n"/>
      <x:c r="D177" s="9" t="n"/>
      <x:c r="E177" s="9" t="n"/>
      <x:c r="F177" s="9" t="n"/>
      <x:c r="G177" s="9" t="n"/>
      <x:c r="H177" s="30">
        <x:f>IF($A177="","",Config!$B$4)</x:f>
      </x:c>
      <x:c r="I177" s="30">
        <x:f>IF($A177="","",IF(C177&gt;Config!$B$5,Config!$B$6,0))</x:f>
      </x:c>
      <x:c r="J177" s="30">
        <x:f>IF($A177="","",IF(F177="Yes",Config!$B$7,0))</x:f>
      </x:c>
      <x:c r="K177" s="30">
        <x:f>IF($A177="","",IF(OR(D177="proposal",D177="negotiation"),Config!$B$8,0))</x:f>
      </x:c>
      <x:c r="L177" s="30">
        <x:f>IF($A177="","",IF(E177&gt;Config!$B$9,Config!$B$10,0))</x:f>
      </x:c>
      <x:c r="M177" s="30">
        <x:f>IF($A177="","",IF(G177&gt;=Config!$B$11,Config!$B$12,0))</x:f>
      </x:c>
      <x:c r="N177" s="30">
        <x:f>IF($A177="","",SUM(H177:M177))</x:f>
      </x:c>
      <x:c r="O177" s="30">
        <x:f>IF($A177="","",MAX(0,MIN(Config!$B$13,N177)))</x:f>
      </x:c>
      <x:c r="P177" s="12">
        <x:f>IF($A177="","",O177/Config!$B$13)</x:f>
      </x:c>
      <x:c r="Q177" s="13">
        <x:f>IF($A177="","",IF(O177&gt;=Config!$B$14,"A",IF(O177&gt;=Config!$B$15,"B","C")))</x:f>
      </x:c>
      <x:c r="R177" s="13">
        <x:f>IF($A177="","",IF(O177&gt;=Config!$B$14,"Low",IF(O177&gt;=Config!$B$15,"Medium","High")))</x:f>
      </x:c>
      <x:c r="S177" s="13">
        <x:f>IF($A177="","",IF(F177="No","Mapear decisor e agendar reunião",IF(E177&gt;Config!$B$9,"Realizar follow-up estruturado",IF(R177="High","Reavaliar estratégia do deal","Avançar para próxima etapa"))))</x:f>
      </x:c>
      <x:c r="T177" s="13">
        <x:f>IF($A177="","","Score " &amp; O177 &amp; "/100; rating " &amp; Q177 &amp; "; friction " &amp; R177 &amp; ".")</x:f>
      </x:c>
    </x:row>
    <x:row r="178" ht="34" customHeight="1">
      <x:c r="A178" s="9" t="n"/>
      <x:c r="B178" s="9" t="n"/>
      <x:c r="C178" s="29" t="n"/>
      <x:c r="D178" s="9" t="n"/>
      <x:c r="E178" s="9" t="n"/>
      <x:c r="F178" s="9" t="n"/>
      <x:c r="G178" s="9" t="n"/>
      <x:c r="H178" s="30">
        <x:f>IF($A178="","",Config!$B$4)</x:f>
      </x:c>
      <x:c r="I178" s="30">
        <x:f>IF($A178="","",IF(C178&gt;Config!$B$5,Config!$B$6,0))</x:f>
      </x:c>
      <x:c r="J178" s="30">
        <x:f>IF($A178="","",IF(F178="Yes",Config!$B$7,0))</x:f>
      </x:c>
      <x:c r="K178" s="30">
        <x:f>IF($A178="","",IF(OR(D178="proposal",D178="negotiation"),Config!$B$8,0))</x:f>
      </x:c>
      <x:c r="L178" s="30">
        <x:f>IF($A178="","",IF(E178&gt;Config!$B$9,Config!$B$10,0))</x:f>
      </x:c>
      <x:c r="M178" s="30">
        <x:f>IF($A178="","",IF(G178&gt;=Config!$B$11,Config!$B$12,0))</x:f>
      </x:c>
      <x:c r="N178" s="30">
        <x:f>IF($A178="","",SUM(H178:M178))</x:f>
      </x:c>
      <x:c r="O178" s="30">
        <x:f>IF($A178="","",MAX(0,MIN(Config!$B$13,N178)))</x:f>
      </x:c>
      <x:c r="P178" s="12">
        <x:f>IF($A178="","",O178/Config!$B$13)</x:f>
      </x:c>
      <x:c r="Q178" s="13">
        <x:f>IF($A178="","",IF(O178&gt;=Config!$B$14,"A",IF(O178&gt;=Config!$B$15,"B","C")))</x:f>
      </x:c>
      <x:c r="R178" s="13">
        <x:f>IF($A178="","",IF(O178&gt;=Config!$B$14,"Low",IF(O178&gt;=Config!$B$15,"Medium","High")))</x:f>
      </x:c>
      <x:c r="S178" s="13">
        <x:f>IF($A178="","",IF(F178="No","Mapear decisor e agendar reunião",IF(E178&gt;Config!$B$9,"Realizar follow-up estruturado",IF(R178="High","Reavaliar estratégia do deal","Avançar para próxima etapa"))))</x:f>
      </x:c>
      <x:c r="T178" s="13">
        <x:f>IF($A178="","","Score " &amp; O178 &amp; "/100; rating " &amp; Q178 &amp; "; friction " &amp; R178 &amp; ".")</x:f>
      </x:c>
    </x:row>
    <x:row r="179" ht="34" customHeight="1">
      <x:c r="A179" s="9" t="n"/>
      <x:c r="B179" s="9" t="n"/>
      <x:c r="C179" s="29" t="n"/>
      <x:c r="D179" s="9" t="n"/>
      <x:c r="E179" s="9" t="n"/>
      <x:c r="F179" s="9" t="n"/>
      <x:c r="G179" s="9" t="n"/>
      <x:c r="H179" s="30">
        <x:f>IF($A179="","",Config!$B$4)</x:f>
      </x:c>
      <x:c r="I179" s="30">
        <x:f>IF($A179="","",IF(C179&gt;Config!$B$5,Config!$B$6,0))</x:f>
      </x:c>
      <x:c r="J179" s="30">
        <x:f>IF($A179="","",IF(F179="Yes",Config!$B$7,0))</x:f>
      </x:c>
      <x:c r="K179" s="30">
        <x:f>IF($A179="","",IF(OR(D179="proposal",D179="negotiation"),Config!$B$8,0))</x:f>
      </x:c>
      <x:c r="L179" s="30">
        <x:f>IF($A179="","",IF(E179&gt;Config!$B$9,Config!$B$10,0))</x:f>
      </x:c>
      <x:c r="M179" s="30">
        <x:f>IF($A179="","",IF(G179&gt;=Config!$B$11,Config!$B$12,0))</x:f>
      </x:c>
      <x:c r="N179" s="30">
        <x:f>IF($A179="","",SUM(H179:M179))</x:f>
      </x:c>
      <x:c r="O179" s="30">
        <x:f>IF($A179="","",MAX(0,MIN(Config!$B$13,N179)))</x:f>
      </x:c>
      <x:c r="P179" s="12">
        <x:f>IF($A179="","",O179/Config!$B$13)</x:f>
      </x:c>
      <x:c r="Q179" s="13">
        <x:f>IF($A179="","",IF(O179&gt;=Config!$B$14,"A",IF(O179&gt;=Config!$B$15,"B","C")))</x:f>
      </x:c>
      <x:c r="R179" s="13">
        <x:f>IF($A179="","",IF(O179&gt;=Config!$B$14,"Low",IF(O179&gt;=Config!$B$15,"Medium","High")))</x:f>
      </x:c>
      <x:c r="S179" s="13">
        <x:f>IF($A179="","",IF(F179="No","Mapear decisor e agendar reunião",IF(E179&gt;Config!$B$9,"Realizar follow-up estruturado",IF(R179="High","Reavaliar estratégia do deal","Avançar para próxima etapa"))))</x:f>
      </x:c>
      <x:c r="T179" s="13">
        <x:f>IF($A179="","","Score " &amp; O179 &amp; "/100; rating " &amp; Q179 &amp; "; friction " &amp; R179 &amp; ".")</x:f>
      </x:c>
    </x:row>
    <x:row r="180" ht="34" customHeight="1">
      <x:c r="A180" s="9" t="n"/>
      <x:c r="B180" s="9" t="n"/>
      <x:c r="C180" s="29" t="n"/>
      <x:c r="D180" s="9" t="n"/>
      <x:c r="E180" s="9" t="n"/>
      <x:c r="F180" s="9" t="n"/>
      <x:c r="G180" s="9" t="n"/>
      <x:c r="H180" s="30">
        <x:f>IF($A180="","",Config!$B$4)</x:f>
      </x:c>
      <x:c r="I180" s="30">
        <x:f>IF($A180="","",IF(C180&gt;Config!$B$5,Config!$B$6,0))</x:f>
      </x:c>
      <x:c r="J180" s="30">
        <x:f>IF($A180="","",IF(F180="Yes",Config!$B$7,0))</x:f>
      </x:c>
      <x:c r="K180" s="30">
        <x:f>IF($A180="","",IF(OR(D180="proposal",D180="negotiation"),Config!$B$8,0))</x:f>
      </x:c>
      <x:c r="L180" s="30">
        <x:f>IF($A180="","",IF(E180&gt;Config!$B$9,Config!$B$10,0))</x:f>
      </x:c>
      <x:c r="M180" s="30">
        <x:f>IF($A180="","",IF(G180&gt;=Config!$B$11,Config!$B$12,0))</x:f>
      </x:c>
      <x:c r="N180" s="30">
        <x:f>IF($A180="","",SUM(H180:M180))</x:f>
      </x:c>
      <x:c r="O180" s="30">
        <x:f>IF($A180="","",MAX(0,MIN(Config!$B$13,N180)))</x:f>
      </x:c>
      <x:c r="P180" s="12">
        <x:f>IF($A180="","",O180/Config!$B$13)</x:f>
      </x:c>
      <x:c r="Q180" s="13">
        <x:f>IF($A180="","",IF(O180&gt;=Config!$B$14,"A",IF(O180&gt;=Config!$B$15,"B","C")))</x:f>
      </x:c>
      <x:c r="R180" s="13">
        <x:f>IF($A180="","",IF(O180&gt;=Config!$B$14,"Low",IF(O180&gt;=Config!$B$15,"Medium","High")))</x:f>
      </x:c>
      <x:c r="S180" s="13">
        <x:f>IF($A180="","",IF(F180="No","Mapear decisor e agendar reunião",IF(E180&gt;Config!$B$9,"Realizar follow-up estruturado",IF(R180="High","Reavaliar estratégia do deal","Avançar para próxima etapa"))))</x:f>
      </x:c>
      <x:c r="T180" s="13">
        <x:f>IF($A180="","","Score " &amp; O180 &amp; "/100; rating " &amp; Q180 &amp; "; friction " &amp; R180 &amp; ".")</x:f>
      </x:c>
    </x:row>
    <x:row r="181" ht="34" customHeight="1">
      <x:c r="A181" s="9" t="n"/>
      <x:c r="B181" s="9" t="n"/>
      <x:c r="C181" s="29" t="n"/>
      <x:c r="D181" s="9" t="n"/>
      <x:c r="E181" s="9" t="n"/>
      <x:c r="F181" s="9" t="n"/>
      <x:c r="G181" s="9" t="n"/>
      <x:c r="H181" s="30">
        <x:f>IF($A181="","",Config!$B$4)</x:f>
      </x:c>
      <x:c r="I181" s="30">
        <x:f>IF($A181="","",IF(C181&gt;Config!$B$5,Config!$B$6,0))</x:f>
      </x:c>
      <x:c r="J181" s="30">
        <x:f>IF($A181="","",IF(F181="Yes",Config!$B$7,0))</x:f>
      </x:c>
      <x:c r="K181" s="30">
        <x:f>IF($A181="","",IF(OR(D181="proposal",D181="negotiation"),Config!$B$8,0))</x:f>
      </x:c>
      <x:c r="L181" s="30">
        <x:f>IF($A181="","",IF(E181&gt;Config!$B$9,Config!$B$10,0))</x:f>
      </x:c>
      <x:c r="M181" s="30">
        <x:f>IF($A181="","",IF(G181&gt;=Config!$B$11,Config!$B$12,0))</x:f>
      </x:c>
      <x:c r="N181" s="30">
        <x:f>IF($A181="","",SUM(H181:M181))</x:f>
      </x:c>
      <x:c r="O181" s="30">
        <x:f>IF($A181="","",MAX(0,MIN(Config!$B$13,N181)))</x:f>
      </x:c>
      <x:c r="P181" s="12">
        <x:f>IF($A181="","",O181/Config!$B$13)</x:f>
      </x:c>
      <x:c r="Q181" s="13">
        <x:f>IF($A181="","",IF(O181&gt;=Config!$B$14,"A",IF(O181&gt;=Config!$B$15,"B","C")))</x:f>
      </x:c>
      <x:c r="R181" s="13">
        <x:f>IF($A181="","",IF(O181&gt;=Config!$B$14,"Low",IF(O181&gt;=Config!$B$15,"Medium","High")))</x:f>
      </x:c>
      <x:c r="S181" s="13">
        <x:f>IF($A181="","",IF(F181="No","Mapear decisor e agendar reunião",IF(E181&gt;Config!$B$9,"Realizar follow-up estruturado",IF(R181="High","Reavaliar estratégia do deal","Avançar para próxima etapa"))))</x:f>
      </x:c>
      <x:c r="T181" s="13">
        <x:f>IF($A181="","","Score " &amp; O181 &amp; "/100; rating " &amp; Q181 &amp; "; friction " &amp; R181 &amp; ".")</x:f>
      </x:c>
    </x:row>
    <x:row r="182" ht="34" customHeight="1">
      <x:c r="A182" s="9" t="n"/>
      <x:c r="B182" s="9" t="n"/>
      <x:c r="C182" s="29" t="n"/>
      <x:c r="D182" s="9" t="n"/>
      <x:c r="E182" s="9" t="n"/>
      <x:c r="F182" s="9" t="n"/>
      <x:c r="G182" s="9" t="n"/>
      <x:c r="H182" s="30">
        <x:f>IF($A182="","",Config!$B$4)</x:f>
      </x:c>
      <x:c r="I182" s="30">
        <x:f>IF($A182="","",IF(C182&gt;Config!$B$5,Config!$B$6,0))</x:f>
      </x:c>
      <x:c r="J182" s="30">
        <x:f>IF($A182="","",IF(F182="Yes",Config!$B$7,0))</x:f>
      </x:c>
      <x:c r="K182" s="30">
        <x:f>IF($A182="","",IF(OR(D182="proposal",D182="negotiation"),Config!$B$8,0))</x:f>
      </x:c>
      <x:c r="L182" s="30">
        <x:f>IF($A182="","",IF(E182&gt;Config!$B$9,Config!$B$10,0))</x:f>
      </x:c>
      <x:c r="M182" s="30">
        <x:f>IF($A182="","",IF(G182&gt;=Config!$B$11,Config!$B$12,0))</x:f>
      </x:c>
      <x:c r="N182" s="30">
        <x:f>IF($A182="","",SUM(H182:M182))</x:f>
      </x:c>
      <x:c r="O182" s="30">
        <x:f>IF($A182="","",MAX(0,MIN(Config!$B$13,N182)))</x:f>
      </x:c>
      <x:c r="P182" s="12">
        <x:f>IF($A182="","",O182/Config!$B$13)</x:f>
      </x:c>
      <x:c r="Q182" s="13">
        <x:f>IF($A182="","",IF(O182&gt;=Config!$B$14,"A",IF(O182&gt;=Config!$B$15,"B","C")))</x:f>
      </x:c>
      <x:c r="R182" s="13">
        <x:f>IF($A182="","",IF(O182&gt;=Config!$B$14,"Low",IF(O182&gt;=Config!$B$15,"Medium","High")))</x:f>
      </x:c>
      <x:c r="S182" s="13">
        <x:f>IF($A182="","",IF(F182="No","Mapear decisor e agendar reunião",IF(E182&gt;Config!$B$9,"Realizar follow-up estruturado",IF(R182="High","Reavaliar estratégia do deal","Avançar para próxima etapa"))))</x:f>
      </x:c>
      <x:c r="T182" s="13">
        <x:f>IF($A182="","","Score " &amp; O182 &amp; "/100; rating " &amp; Q182 &amp; "; friction " &amp; R182 &amp; ".")</x:f>
      </x:c>
    </x:row>
    <x:row r="183" ht="34" customHeight="1">
      <x:c r="A183" s="9" t="n"/>
      <x:c r="B183" s="9" t="n"/>
      <x:c r="C183" s="29" t="n"/>
      <x:c r="D183" s="9" t="n"/>
      <x:c r="E183" s="9" t="n"/>
      <x:c r="F183" s="9" t="n"/>
      <x:c r="G183" s="9" t="n"/>
      <x:c r="H183" s="30">
        <x:f>IF($A183="","",Config!$B$4)</x:f>
      </x:c>
      <x:c r="I183" s="30">
        <x:f>IF($A183="","",IF(C183&gt;Config!$B$5,Config!$B$6,0))</x:f>
      </x:c>
      <x:c r="J183" s="30">
        <x:f>IF($A183="","",IF(F183="Yes",Config!$B$7,0))</x:f>
      </x:c>
      <x:c r="K183" s="30">
        <x:f>IF($A183="","",IF(OR(D183="proposal",D183="negotiation"),Config!$B$8,0))</x:f>
      </x:c>
      <x:c r="L183" s="30">
        <x:f>IF($A183="","",IF(E183&gt;Config!$B$9,Config!$B$10,0))</x:f>
      </x:c>
      <x:c r="M183" s="30">
        <x:f>IF($A183="","",IF(G183&gt;=Config!$B$11,Config!$B$12,0))</x:f>
      </x:c>
      <x:c r="N183" s="30">
        <x:f>IF($A183="","",SUM(H183:M183))</x:f>
      </x:c>
      <x:c r="O183" s="30">
        <x:f>IF($A183="","",MAX(0,MIN(Config!$B$13,N183)))</x:f>
      </x:c>
      <x:c r="P183" s="12">
        <x:f>IF($A183="","",O183/Config!$B$13)</x:f>
      </x:c>
      <x:c r="Q183" s="13">
        <x:f>IF($A183="","",IF(O183&gt;=Config!$B$14,"A",IF(O183&gt;=Config!$B$15,"B","C")))</x:f>
      </x:c>
      <x:c r="R183" s="13">
        <x:f>IF($A183="","",IF(O183&gt;=Config!$B$14,"Low",IF(O183&gt;=Config!$B$15,"Medium","High")))</x:f>
      </x:c>
      <x:c r="S183" s="13">
        <x:f>IF($A183="","",IF(F183="No","Mapear decisor e agendar reunião",IF(E183&gt;Config!$B$9,"Realizar follow-up estruturado",IF(R183="High","Reavaliar estratégia do deal","Avançar para próxima etapa"))))</x:f>
      </x:c>
      <x:c r="T183" s="13">
        <x:f>IF($A183="","","Score " &amp; O183 &amp; "/100; rating " &amp; Q183 &amp; "; friction " &amp; R183 &amp; ".")</x:f>
      </x:c>
    </x:row>
    <x:row r="184" ht="34" customHeight="1">
      <x:c r="A184" s="9" t="n"/>
      <x:c r="B184" s="9" t="n"/>
      <x:c r="C184" s="29" t="n"/>
      <x:c r="D184" s="9" t="n"/>
      <x:c r="E184" s="9" t="n"/>
      <x:c r="F184" s="9" t="n"/>
      <x:c r="G184" s="9" t="n"/>
      <x:c r="H184" s="30">
        <x:f>IF($A184="","",Config!$B$4)</x:f>
      </x:c>
      <x:c r="I184" s="30">
        <x:f>IF($A184="","",IF(C184&gt;Config!$B$5,Config!$B$6,0))</x:f>
      </x:c>
      <x:c r="J184" s="30">
        <x:f>IF($A184="","",IF(F184="Yes",Config!$B$7,0))</x:f>
      </x:c>
      <x:c r="K184" s="30">
        <x:f>IF($A184="","",IF(OR(D184="proposal",D184="negotiation"),Config!$B$8,0))</x:f>
      </x:c>
      <x:c r="L184" s="30">
        <x:f>IF($A184="","",IF(E184&gt;Config!$B$9,Config!$B$10,0))</x:f>
      </x:c>
      <x:c r="M184" s="30">
        <x:f>IF($A184="","",IF(G184&gt;=Config!$B$11,Config!$B$12,0))</x:f>
      </x:c>
      <x:c r="N184" s="30">
        <x:f>IF($A184="","",SUM(H184:M184))</x:f>
      </x:c>
      <x:c r="O184" s="30">
        <x:f>IF($A184="","",MAX(0,MIN(Config!$B$13,N184)))</x:f>
      </x:c>
      <x:c r="P184" s="12">
        <x:f>IF($A184="","",O184/Config!$B$13)</x:f>
      </x:c>
      <x:c r="Q184" s="13">
        <x:f>IF($A184="","",IF(O184&gt;=Config!$B$14,"A",IF(O184&gt;=Config!$B$15,"B","C")))</x:f>
      </x:c>
      <x:c r="R184" s="13">
        <x:f>IF($A184="","",IF(O184&gt;=Config!$B$14,"Low",IF(O184&gt;=Config!$B$15,"Medium","High")))</x:f>
      </x:c>
      <x:c r="S184" s="13">
        <x:f>IF($A184="","",IF(F184="No","Mapear decisor e agendar reunião",IF(E184&gt;Config!$B$9,"Realizar follow-up estruturado",IF(R184="High","Reavaliar estratégia do deal","Avançar para próxima etapa"))))</x:f>
      </x:c>
      <x:c r="T184" s="13">
        <x:f>IF($A184="","","Score " &amp; O184 &amp; "/100; rating " &amp; Q184 &amp; "; friction " &amp; R184 &amp; ".")</x:f>
      </x:c>
    </x:row>
    <x:row r="185" ht="34" customHeight="1">
      <x:c r="A185" s="9" t="n"/>
      <x:c r="B185" s="9" t="n"/>
      <x:c r="C185" s="29" t="n"/>
      <x:c r="D185" s="9" t="n"/>
      <x:c r="E185" s="9" t="n"/>
      <x:c r="F185" s="9" t="n"/>
      <x:c r="G185" s="9" t="n"/>
      <x:c r="H185" s="30">
        <x:f>IF($A185="","",Config!$B$4)</x:f>
      </x:c>
      <x:c r="I185" s="30">
        <x:f>IF($A185="","",IF(C185&gt;Config!$B$5,Config!$B$6,0))</x:f>
      </x:c>
      <x:c r="J185" s="30">
        <x:f>IF($A185="","",IF(F185="Yes",Config!$B$7,0))</x:f>
      </x:c>
      <x:c r="K185" s="30">
        <x:f>IF($A185="","",IF(OR(D185="proposal",D185="negotiation"),Config!$B$8,0))</x:f>
      </x:c>
      <x:c r="L185" s="30">
        <x:f>IF($A185="","",IF(E185&gt;Config!$B$9,Config!$B$10,0))</x:f>
      </x:c>
      <x:c r="M185" s="30">
        <x:f>IF($A185="","",IF(G185&gt;=Config!$B$11,Config!$B$12,0))</x:f>
      </x:c>
      <x:c r="N185" s="30">
        <x:f>IF($A185="","",SUM(H185:M185))</x:f>
      </x:c>
      <x:c r="O185" s="30">
        <x:f>IF($A185="","",MAX(0,MIN(Config!$B$13,N185)))</x:f>
      </x:c>
      <x:c r="P185" s="12">
        <x:f>IF($A185="","",O185/Config!$B$13)</x:f>
      </x:c>
      <x:c r="Q185" s="13">
        <x:f>IF($A185="","",IF(O185&gt;=Config!$B$14,"A",IF(O185&gt;=Config!$B$15,"B","C")))</x:f>
      </x:c>
      <x:c r="R185" s="13">
        <x:f>IF($A185="","",IF(O185&gt;=Config!$B$14,"Low",IF(O185&gt;=Config!$B$15,"Medium","High")))</x:f>
      </x:c>
      <x:c r="S185" s="13">
        <x:f>IF($A185="","",IF(F185="No","Mapear decisor e agendar reunião",IF(E185&gt;Config!$B$9,"Realizar follow-up estruturado",IF(R185="High","Reavaliar estratégia do deal","Avançar para próxima etapa"))))</x:f>
      </x:c>
      <x:c r="T185" s="13">
        <x:f>IF($A185="","","Score " &amp; O185 &amp; "/100; rating " &amp; Q185 &amp; "; friction " &amp; R185 &amp; ".")</x:f>
      </x:c>
    </x:row>
    <x:row r="186" ht="34" customHeight="1">
      <x:c r="A186" s="9" t="n"/>
      <x:c r="B186" s="9" t="n"/>
      <x:c r="C186" s="29" t="n"/>
      <x:c r="D186" s="9" t="n"/>
      <x:c r="E186" s="9" t="n"/>
      <x:c r="F186" s="9" t="n"/>
      <x:c r="G186" s="9" t="n"/>
      <x:c r="H186" s="30">
        <x:f>IF($A186="","",Config!$B$4)</x:f>
      </x:c>
      <x:c r="I186" s="30">
        <x:f>IF($A186="","",IF(C186&gt;Config!$B$5,Config!$B$6,0))</x:f>
      </x:c>
      <x:c r="J186" s="30">
        <x:f>IF($A186="","",IF(F186="Yes",Config!$B$7,0))</x:f>
      </x:c>
      <x:c r="K186" s="30">
        <x:f>IF($A186="","",IF(OR(D186="proposal",D186="negotiation"),Config!$B$8,0))</x:f>
      </x:c>
      <x:c r="L186" s="30">
        <x:f>IF($A186="","",IF(E186&gt;Config!$B$9,Config!$B$10,0))</x:f>
      </x:c>
      <x:c r="M186" s="30">
        <x:f>IF($A186="","",IF(G186&gt;=Config!$B$11,Config!$B$12,0))</x:f>
      </x:c>
      <x:c r="N186" s="30">
        <x:f>IF($A186="","",SUM(H186:M186))</x:f>
      </x:c>
      <x:c r="O186" s="30">
        <x:f>IF($A186="","",MAX(0,MIN(Config!$B$13,N186)))</x:f>
      </x:c>
      <x:c r="P186" s="12">
        <x:f>IF($A186="","",O186/Config!$B$13)</x:f>
      </x:c>
      <x:c r="Q186" s="13">
        <x:f>IF($A186="","",IF(O186&gt;=Config!$B$14,"A",IF(O186&gt;=Config!$B$15,"B","C")))</x:f>
      </x:c>
      <x:c r="R186" s="13">
        <x:f>IF($A186="","",IF(O186&gt;=Config!$B$14,"Low",IF(O186&gt;=Config!$B$15,"Medium","High")))</x:f>
      </x:c>
      <x:c r="S186" s="13">
        <x:f>IF($A186="","",IF(F186="No","Mapear decisor e agendar reunião",IF(E186&gt;Config!$B$9,"Realizar follow-up estruturado",IF(R186="High","Reavaliar estratégia do deal","Avançar para próxima etapa"))))</x:f>
      </x:c>
      <x:c r="T186" s="13">
        <x:f>IF($A186="","","Score " &amp; O186 &amp; "/100; rating " &amp; Q186 &amp; "; friction " &amp; R186 &amp; ".")</x:f>
      </x:c>
    </x:row>
    <x:row r="187" ht="34" customHeight="1">
      <x:c r="A187" s="9" t="n"/>
      <x:c r="B187" s="9" t="n"/>
      <x:c r="C187" s="29" t="n"/>
      <x:c r="D187" s="9" t="n"/>
      <x:c r="E187" s="9" t="n"/>
      <x:c r="F187" s="9" t="n"/>
      <x:c r="G187" s="9" t="n"/>
      <x:c r="H187" s="30">
        <x:f>IF($A187="","",Config!$B$4)</x:f>
      </x:c>
      <x:c r="I187" s="30">
        <x:f>IF($A187="","",IF(C187&gt;Config!$B$5,Config!$B$6,0))</x:f>
      </x:c>
      <x:c r="J187" s="30">
        <x:f>IF($A187="","",IF(F187="Yes",Config!$B$7,0))</x:f>
      </x:c>
      <x:c r="K187" s="30">
        <x:f>IF($A187="","",IF(OR(D187="proposal",D187="negotiation"),Config!$B$8,0))</x:f>
      </x:c>
      <x:c r="L187" s="30">
        <x:f>IF($A187="","",IF(E187&gt;Config!$B$9,Config!$B$10,0))</x:f>
      </x:c>
      <x:c r="M187" s="30">
        <x:f>IF($A187="","",IF(G187&gt;=Config!$B$11,Config!$B$12,0))</x:f>
      </x:c>
      <x:c r="N187" s="30">
        <x:f>IF($A187="","",SUM(H187:M187))</x:f>
      </x:c>
      <x:c r="O187" s="30">
        <x:f>IF($A187="","",MAX(0,MIN(Config!$B$13,N187)))</x:f>
      </x:c>
      <x:c r="P187" s="12">
        <x:f>IF($A187="","",O187/Config!$B$13)</x:f>
      </x:c>
      <x:c r="Q187" s="13">
        <x:f>IF($A187="","",IF(O187&gt;=Config!$B$14,"A",IF(O187&gt;=Config!$B$15,"B","C")))</x:f>
      </x:c>
      <x:c r="R187" s="13">
        <x:f>IF($A187="","",IF(O187&gt;=Config!$B$14,"Low",IF(O187&gt;=Config!$B$15,"Medium","High")))</x:f>
      </x:c>
      <x:c r="S187" s="13">
        <x:f>IF($A187="","",IF(F187="No","Mapear decisor e agendar reunião",IF(E187&gt;Config!$B$9,"Realizar follow-up estruturado",IF(R187="High","Reavaliar estratégia do deal","Avançar para próxima etapa"))))</x:f>
      </x:c>
      <x:c r="T187" s="13">
        <x:f>IF($A187="","","Score " &amp; O187 &amp; "/100; rating " &amp; Q187 &amp; "; friction " &amp; R187 &amp; ".")</x:f>
      </x:c>
    </x:row>
    <x:row r="188" ht="34" customHeight="1">
      <x:c r="A188" s="9" t="n"/>
      <x:c r="B188" s="9" t="n"/>
      <x:c r="C188" s="29" t="n"/>
      <x:c r="D188" s="9" t="n"/>
      <x:c r="E188" s="9" t="n"/>
      <x:c r="F188" s="9" t="n"/>
      <x:c r="G188" s="9" t="n"/>
      <x:c r="H188" s="30">
        <x:f>IF($A188="","",Config!$B$4)</x:f>
      </x:c>
      <x:c r="I188" s="30">
        <x:f>IF($A188="","",IF(C188&gt;Config!$B$5,Config!$B$6,0))</x:f>
      </x:c>
      <x:c r="J188" s="30">
        <x:f>IF($A188="","",IF(F188="Yes",Config!$B$7,0))</x:f>
      </x:c>
      <x:c r="K188" s="30">
        <x:f>IF($A188="","",IF(OR(D188="proposal",D188="negotiation"),Config!$B$8,0))</x:f>
      </x:c>
      <x:c r="L188" s="30">
        <x:f>IF($A188="","",IF(E188&gt;Config!$B$9,Config!$B$10,0))</x:f>
      </x:c>
      <x:c r="M188" s="30">
        <x:f>IF($A188="","",IF(G188&gt;=Config!$B$11,Config!$B$12,0))</x:f>
      </x:c>
      <x:c r="N188" s="30">
        <x:f>IF($A188="","",SUM(H188:M188))</x:f>
      </x:c>
      <x:c r="O188" s="30">
        <x:f>IF($A188="","",MAX(0,MIN(Config!$B$13,N188)))</x:f>
      </x:c>
      <x:c r="P188" s="12">
        <x:f>IF($A188="","",O188/Config!$B$13)</x:f>
      </x:c>
      <x:c r="Q188" s="13">
        <x:f>IF($A188="","",IF(O188&gt;=Config!$B$14,"A",IF(O188&gt;=Config!$B$15,"B","C")))</x:f>
      </x:c>
      <x:c r="R188" s="13">
        <x:f>IF($A188="","",IF(O188&gt;=Config!$B$14,"Low",IF(O188&gt;=Config!$B$15,"Medium","High")))</x:f>
      </x:c>
      <x:c r="S188" s="13">
        <x:f>IF($A188="","",IF(F188="No","Mapear decisor e agendar reunião",IF(E188&gt;Config!$B$9,"Realizar follow-up estruturado",IF(R188="High","Reavaliar estratégia do deal","Avançar para próxima etapa"))))</x:f>
      </x:c>
      <x:c r="T188" s="13">
        <x:f>IF($A188="","","Score " &amp; O188 &amp; "/100; rating " &amp; Q188 &amp; "; friction " &amp; R188 &amp; ".")</x:f>
      </x:c>
    </x:row>
    <x:row r="189" ht="34" customHeight="1">
      <x:c r="A189" s="9" t="n"/>
      <x:c r="B189" s="9" t="n"/>
      <x:c r="C189" s="29" t="n"/>
      <x:c r="D189" s="9" t="n"/>
      <x:c r="E189" s="9" t="n"/>
      <x:c r="F189" s="9" t="n"/>
      <x:c r="G189" s="9" t="n"/>
      <x:c r="H189" s="30">
        <x:f>IF($A189="","",Config!$B$4)</x:f>
      </x:c>
      <x:c r="I189" s="30">
        <x:f>IF($A189="","",IF(C189&gt;Config!$B$5,Config!$B$6,0))</x:f>
      </x:c>
      <x:c r="J189" s="30">
        <x:f>IF($A189="","",IF(F189="Yes",Config!$B$7,0))</x:f>
      </x:c>
      <x:c r="K189" s="30">
        <x:f>IF($A189="","",IF(OR(D189="proposal",D189="negotiation"),Config!$B$8,0))</x:f>
      </x:c>
      <x:c r="L189" s="30">
        <x:f>IF($A189="","",IF(E189&gt;Config!$B$9,Config!$B$10,0))</x:f>
      </x:c>
      <x:c r="M189" s="30">
        <x:f>IF($A189="","",IF(G189&gt;=Config!$B$11,Config!$B$12,0))</x:f>
      </x:c>
      <x:c r="N189" s="30">
        <x:f>IF($A189="","",SUM(H189:M189))</x:f>
      </x:c>
      <x:c r="O189" s="30">
        <x:f>IF($A189="","",MAX(0,MIN(Config!$B$13,N189)))</x:f>
      </x:c>
      <x:c r="P189" s="12">
        <x:f>IF($A189="","",O189/Config!$B$13)</x:f>
      </x:c>
      <x:c r="Q189" s="13">
        <x:f>IF($A189="","",IF(O189&gt;=Config!$B$14,"A",IF(O189&gt;=Config!$B$15,"B","C")))</x:f>
      </x:c>
      <x:c r="R189" s="13">
        <x:f>IF($A189="","",IF(O189&gt;=Config!$B$14,"Low",IF(O189&gt;=Config!$B$15,"Medium","High")))</x:f>
      </x:c>
      <x:c r="S189" s="13">
        <x:f>IF($A189="","",IF(F189="No","Mapear decisor e agendar reunião",IF(E189&gt;Config!$B$9,"Realizar follow-up estruturado",IF(R189="High","Reavaliar estratégia do deal","Avançar para próxima etapa"))))</x:f>
      </x:c>
      <x:c r="T189" s="13">
        <x:f>IF($A189="","","Score " &amp; O189 &amp; "/100; rating " &amp; Q189 &amp; "; friction " &amp; R189 &amp; ".")</x:f>
      </x:c>
    </x:row>
    <x:row r="190" ht="34" customHeight="1">
      <x:c r="A190" s="9" t="n"/>
      <x:c r="B190" s="9" t="n"/>
      <x:c r="C190" s="29" t="n"/>
      <x:c r="D190" s="9" t="n"/>
      <x:c r="E190" s="9" t="n"/>
      <x:c r="F190" s="9" t="n"/>
      <x:c r="G190" s="9" t="n"/>
      <x:c r="H190" s="30">
        <x:f>IF($A190="","",Config!$B$4)</x:f>
      </x:c>
      <x:c r="I190" s="30">
        <x:f>IF($A190="","",IF(C190&gt;Config!$B$5,Config!$B$6,0))</x:f>
      </x:c>
      <x:c r="J190" s="30">
        <x:f>IF($A190="","",IF(F190="Yes",Config!$B$7,0))</x:f>
      </x:c>
      <x:c r="K190" s="30">
        <x:f>IF($A190="","",IF(OR(D190="proposal",D190="negotiation"),Config!$B$8,0))</x:f>
      </x:c>
      <x:c r="L190" s="30">
        <x:f>IF($A190="","",IF(E190&gt;Config!$B$9,Config!$B$10,0))</x:f>
      </x:c>
      <x:c r="M190" s="30">
        <x:f>IF($A190="","",IF(G190&gt;=Config!$B$11,Config!$B$12,0))</x:f>
      </x:c>
      <x:c r="N190" s="30">
        <x:f>IF($A190="","",SUM(H190:M190))</x:f>
      </x:c>
      <x:c r="O190" s="30">
        <x:f>IF($A190="","",MAX(0,MIN(Config!$B$13,N190)))</x:f>
      </x:c>
      <x:c r="P190" s="12">
        <x:f>IF($A190="","",O190/Config!$B$13)</x:f>
      </x:c>
      <x:c r="Q190" s="13">
        <x:f>IF($A190="","",IF(O190&gt;=Config!$B$14,"A",IF(O190&gt;=Config!$B$15,"B","C")))</x:f>
      </x:c>
      <x:c r="R190" s="13">
        <x:f>IF($A190="","",IF(O190&gt;=Config!$B$14,"Low",IF(O190&gt;=Config!$B$15,"Medium","High")))</x:f>
      </x:c>
      <x:c r="S190" s="13">
        <x:f>IF($A190="","",IF(F190="No","Mapear decisor e agendar reunião",IF(E190&gt;Config!$B$9,"Realizar follow-up estruturado",IF(R190="High","Reavaliar estratégia do deal","Avançar para próxima etapa"))))</x:f>
      </x:c>
      <x:c r="T190" s="13">
        <x:f>IF($A190="","","Score " &amp; O190 &amp; "/100; rating " &amp; Q190 &amp; "; friction " &amp; R190 &amp; ".")</x:f>
      </x:c>
    </x:row>
    <x:row r="191" ht="34" customHeight="1">
      <x:c r="A191" s="9" t="n"/>
      <x:c r="B191" s="9" t="n"/>
      <x:c r="C191" s="29" t="n"/>
      <x:c r="D191" s="9" t="n"/>
      <x:c r="E191" s="9" t="n"/>
      <x:c r="F191" s="9" t="n"/>
      <x:c r="G191" s="9" t="n"/>
      <x:c r="H191" s="30">
        <x:f>IF($A191="","",Config!$B$4)</x:f>
      </x:c>
      <x:c r="I191" s="30">
        <x:f>IF($A191="","",IF(C191&gt;Config!$B$5,Config!$B$6,0))</x:f>
      </x:c>
      <x:c r="J191" s="30">
        <x:f>IF($A191="","",IF(F191="Yes",Config!$B$7,0))</x:f>
      </x:c>
      <x:c r="K191" s="30">
        <x:f>IF($A191="","",IF(OR(D191="proposal",D191="negotiation"),Config!$B$8,0))</x:f>
      </x:c>
      <x:c r="L191" s="30">
        <x:f>IF($A191="","",IF(E191&gt;Config!$B$9,Config!$B$10,0))</x:f>
      </x:c>
      <x:c r="M191" s="30">
        <x:f>IF($A191="","",IF(G191&gt;=Config!$B$11,Config!$B$12,0))</x:f>
      </x:c>
      <x:c r="N191" s="30">
        <x:f>IF($A191="","",SUM(H191:M191))</x:f>
      </x:c>
      <x:c r="O191" s="30">
        <x:f>IF($A191="","",MAX(0,MIN(Config!$B$13,N191)))</x:f>
      </x:c>
      <x:c r="P191" s="12">
        <x:f>IF($A191="","",O191/Config!$B$13)</x:f>
      </x:c>
      <x:c r="Q191" s="13">
        <x:f>IF($A191="","",IF(O191&gt;=Config!$B$14,"A",IF(O191&gt;=Config!$B$15,"B","C")))</x:f>
      </x:c>
      <x:c r="R191" s="13">
        <x:f>IF($A191="","",IF(O191&gt;=Config!$B$14,"Low",IF(O191&gt;=Config!$B$15,"Medium","High")))</x:f>
      </x:c>
      <x:c r="S191" s="13">
        <x:f>IF($A191="","",IF(F191="No","Mapear decisor e agendar reunião",IF(E191&gt;Config!$B$9,"Realizar follow-up estruturado",IF(R191="High","Reavaliar estratégia do deal","Avançar para próxima etapa"))))</x:f>
      </x:c>
      <x:c r="T191" s="13">
        <x:f>IF($A191="","","Score " &amp; O191 &amp; "/100; rating " &amp; Q191 &amp; "; friction " &amp; R191 &amp; ".")</x:f>
      </x:c>
    </x:row>
    <x:row r="192" ht="34" customHeight="1">
      <x:c r="A192" s="9" t="n"/>
      <x:c r="B192" s="9" t="n"/>
      <x:c r="C192" s="29" t="n"/>
      <x:c r="D192" s="9" t="n"/>
      <x:c r="E192" s="9" t="n"/>
      <x:c r="F192" s="9" t="n"/>
      <x:c r="G192" s="9" t="n"/>
      <x:c r="H192" s="30">
        <x:f>IF($A192="","",Config!$B$4)</x:f>
      </x:c>
      <x:c r="I192" s="30">
        <x:f>IF($A192="","",IF(C192&gt;Config!$B$5,Config!$B$6,0))</x:f>
      </x:c>
      <x:c r="J192" s="30">
        <x:f>IF($A192="","",IF(F192="Yes",Config!$B$7,0))</x:f>
      </x:c>
      <x:c r="K192" s="30">
        <x:f>IF($A192="","",IF(OR(D192="proposal",D192="negotiation"),Config!$B$8,0))</x:f>
      </x:c>
      <x:c r="L192" s="30">
        <x:f>IF($A192="","",IF(E192&gt;Config!$B$9,Config!$B$10,0))</x:f>
      </x:c>
      <x:c r="M192" s="30">
        <x:f>IF($A192="","",IF(G192&gt;=Config!$B$11,Config!$B$12,0))</x:f>
      </x:c>
      <x:c r="N192" s="30">
        <x:f>IF($A192="","",SUM(H192:M192))</x:f>
      </x:c>
      <x:c r="O192" s="30">
        <x:f>IF($A192="","",MAX(0,MIN(Config!$B$13,N192)))</x:f>
      </x:c>
      <x:c r="P192" s="12">
        <x:f>IF($A192="","",O192/Config!$B$13)</x:f>
      </x:c>
      <x:c r="Q192" s="13">
        <x:f>IF($A192="","",IF(O192&gt;=Config!$B$14,"A",IF(O192&gt;=Config!$B$15,"B","C")))</x:f>
      </x:c>
      <x:c r="R192" s="13">
        <x:f>IF($A192="","",IF(O192&gt;=Config!$B$14,"Low",IF(O192&gt;=Config!$B$15,"Medium","High")))</x:f>
      </x:c>
      <x:c r="S192" s="13">
        <x:f>IF($A192="","",IF(F192="No","Mapear decisor e agendar reunião",IF(E192&gt;Config!$B$9,"Realizar follow-up estruturado",IF(R192="High","Reavaliar estratégia do deal","Avançar para próxima etapa"))))</x:f>
      </x:c>
      <x:c r="T192" s="13">
        <x:f>IF($A192="","","Score " &amp; O192 &amp; "/100; rating " &amp; Q192 &amp; "; friction " &amp; R192 &amp; ".")</x:f>
      </x:c>
    </x:row>
    <x:row r="193" ht="34" customHeight="1">
      <x:c r="A193" s="9" t="n"/>
      <x:c r="B193" s="9" t="n"/>
      <x:c r="C193" s="29" t="n"/>
      <x:c r="D193" s="9" t="n"/>
      <x:c r="E193" s="9" t="n"/>
      <x:c r="F193" s="9" t="n"/>
      <x:c r="G193" s="9" t="n"/>
      <x:c r="H193" s="30">
        <x:f>IF($A193="","",Config!$B$4)</x:f>
      </x:c>
      <x:c r="I193" s="30">
        <x:f>IF($A193="","",IF(C193&gt;Config!$B$5,Config!$B$6,0))</x:f>
      </x:c>
      <x:c r="J193" s="30">
        <x:f>IF($A193="","",IF(F193="Yes",Config!$B$7,0))</x:f>
      </x:c>
      <x:c r="K193" s="30">
        <x:f>IF($A193="","",IF(OR(D193="proposal",D193="negotiation"),Config!$B$8,0))</x:f>
      </x:c>
      <x:c r="L193" s="30">
        <x:f>IF($A193="","",IF(E193&gt;Config!$B$9,Config!$B$10,0))</x:f>
      </x:c>
      <x:c r="M193" s="30">
        <x:f>IF($A193="","",IF(G193&gt;=Config!$B$11,Config!$B$12,0))</x:f>
      </x:c>
      <x:c r="N193" s="30">
        <x:f>IF($A193="","",SUM(H193:M193))</x:f>
      </x:c>
      <x:c r="O193" s="30">
        <x:f>IF($A193="","",MAX(0,MIN(Config!$B$13,N193)))</x:f>
      </x:c>
      <x:c r="P193" s="12">
        <x:f>IF($A193="","",O193/Config!$B$13)</x:f>
      </x:c>
      <x:c r="Q193" s="13">
        <x:f>IF($A193="","",IF(O193&gt;=Config!$B$14,"A",IF(O193&gt;=Config!$B$15,"B","C")))</x:f>
      </x:c>
      <x:c r="R193" s="13">
        <x:f>IF($A193="","",IF(O193&gt;=Config!$B$14,"Low",IF(O193&gt;=Config!$B$15,"Medium","High")))</x:f>
      </x:c>
      <x:c r="S193" s="13">
        <x:f>IF($A193="","",IF(F193="No","Mapear decisor e agendar reunião",IF(E193&gt;Config!$B$9,"Realizar follow-up estruturado",IF(R193="High","Reavaliar estratégia do deal","Avançar para próxima etapa"))))</x:f>
      </x:c>
      <x:c r="T193" s="13">
        <x:f>IF($A193="","","Score " &amp; O193 &amp; "/100; rating " &amp; Q193 &amp; "; friction " &amp; R193 &amp; ".")</x:f>
      </x:c>
    </x:row>
    <x:row r="194" ht="34" customHeight="1">
      <x:c r="A194" s="9" t="n"/>
      <x:c r="B194" s="9" t="n"/>
      <x:c r="C194" s="29" t="n"/>
      <x:c r="D194" s="9" t="n"/>
      <x:c r="E194" s="9" t="n"/>
      <x:c r="F194" s="9" t="n"/>
      <x:c r="G194" s="9" t="n"/>
      <x:c r="H194" s="30">
        <x:f>IF($A194="","",Config!$B$4)</x:f>
      </x:c>
      <x:c r="I194" s="30">
        <x:f>IF($A194="","",IF(C194&gt;Config!$B$5,Config!$B$6,0))</x:f>
      </x:c>
      <x:c r="J194" s="30">
        <x:f>IF($A194="","",IF(F194="Yes",Config!$B$7,0))</x:f>
      </x:c>
      <x:c r="K194" s="30">
        <x:f>IF($A194="","",IF(OR(D194="proposal",D194="negotiation"),Config!$B$8,0))</x:f>
      </x:c>
      <x:c r="L194" s="30">
        <x:f>IF($A194="","",IF(E194&gt;Config!$B$9,Config!$B$10,0))</x:f>
      </x:c>
      <x:c r="M194" s="30">
        <x:f>IF($A194="","",IF(G194&gt;=Config!$B$11,Config!$B$12,0))</x:f>
      </x:c>
      <x:c r="N194" s="30">
        <x:f>IF($A194="","",SUM(H194:M194))</x:f>
      </x:c>
      <x:c r="O194" s="30">
        <x:f>IF($A194="","",MAX(0,MIN(Config!$B$13,N194)))</x:f>
      </x:c>
      <x:c r="P194" s="12">
        <x:f>IF($A194="","",O194/Config!$B$13)</x:f>
      </x:c>
      <x:c r="Q194" s="13">
        <x:f>IF($A194="","",IF(O194&gt;=Config!$B$14,"A",IF(O194&gt;=Config!$B$15,"B","C")))</x:f>
      </x:c>
      <x:c r="R194" s="13">
        <x:f>IF($A194="","",IF(O194&gt;=Config!$B$14,"Low",IF(O194&gt;=Config!$B$15,"Medium","High")))</x:f>
      </x:c>
      <x:c r="S194" s="13">
        <x:f>IF($A194="","",IF(F194="No","Mapear decisor e agendar reunião",IF(E194&gt;Config!$B$9,"Realizar follow-up estruturado",IF(R194="High","Reavaliar estratégia do deal","Avançar para próxima etapa"))))</x:f>
      </x:c>
      <x:c r="T194" s="13">
        <x:f>IF($A194="","","Score " &amp; O194 &amp; "/100; rating " &amp; Q194 &amp; "; friction " &amp; R194 &amp; ".")</x:f>
      </x:c>
    </x:row>
    <x:row r="195" ht="34" customHeight="1">
      <x:c r="A195" s="9" t="n"/>
      <x:c r="B195" s="9" t="n"/>
      <x:c r="C195" s="29" t="n"/>
      <x:c r="D195" s="9" t="n"/>
      <x:c r="E195" s="9" t="n"/>
      <x:c r="F195" s="9" t="n"/>
      <x:c r="G195" s="9" t="n"/>
      <x:c r="H195" s="30">
        <x:f>IF($A195="","",Config!$B$4)</x:f>
      </x:c>
      <x:c r="I195" s="30">
        <x:f>IF($A195="","",IF(C195&gt;Config!$B$5,Config!$B$6,0))</x:f>
      </x:c>
      <x:c r="J195" s="30">
        <x:f>IF($A195="","",IF(F195="Yes",Config!$B$7,0))</x:f>
      </x:c>
      <x:c r="K195" s="30">
        <x:f>IF($A195="","",IF(OR(D195="proposal",D195="negotiation"),Config!$B$8,0))</x:f>
      </x:c>
      <x:c r="L195" s="30">
        <x:f>IF($A195="","",IF(E195&gt;Config!$B$9,Config!$B$10,0))</x:f>
      </x:c>
      <x:c r="M195" s="30">
        <x:f>IF($A195="","",IF(G195&gt;=Config!$B$11,Config!$B$12,0))</x:f>
      </x:c>
      <x:c r="N195" s="30">
        <x:f>IF($A195="","",SUM(H195:M195))</x:f>
      </x:c>
      <x:c r="O195" s="30">
        <x:f>IF($A195="","",MAX(0,MIN(Config!$B$13,N195)))</x:f>
      </x:c>
      <x:c r="P195" s="12">
        <x:f>IF($A195="","",O195/Config!$B$13)</x:f>
      </x:c>
      <x:c r="Q195" s="13">
        <x:f>IF($A195="","",IF(O195&gt;=Config!$B$14,"A",IF(O195&gt;=Config!$B$15,"B","C")))</x:f>
      </x:c>
      <x:c r="R195" s="13">
        <x:f>IF($A195="","",IF(O195&gt;=Config!$B$14,"Low",IF(O195&gt;=Config!$B$15,"Medium","High")))</x:f>
      </x:c>
      <x:c r="S195" s="13">
        <x:f>IF($A195="","",IF(F195="No","Mapear decisor e agendar reunião",IF(E195&gt;Config!$B$9,"Realizar follow-up estruturado",IF(R195="High","Reavaliar estratégia do deal","Avançar para próxima etapa"))))</x:f>
      </x:c>
      <x:c r="T195" s="13">
        <x:f>IF($A195="","","Score " &amp; O195 &amp; "/100; rating " &amp; Q195 &amp; "; friction " &amp; R195 &amp; ".")</x:f>
      </x:c>
    </x:row>
    <x:row r="196" ht="34" customHeight="1">
      <x:c r="A196" s="9" t="n"/>
      <x:c r="B196" s="9" t="n"/>
      <x:c r="C196" s="29" t="n"/>
      <x:c r="D196" s="9" t="n"/>
      <x:c r="E196" s="9" t="n"/>
      <x:c r="F196" s="9" t="n"/>
      <x:c r="G196" s="9" t="n"/>
      <x:c r="H196" s="30">
        <x:f>IF($A196="","",Config!$B$4)</x:f>
      </x:c>
      <x:c r="I196" s="30">
        <x:f>IF($A196="","",IF(C196&gt;Config!$B$5,Config!$B$6,0))</x:f>
      </x:c>
      <x:c r="J196" s="30">
        <x:f>IF($A196="","",IF(F196="Yes",Config!$B$7,0))</x:f>
      </x:c>
      <x:c r="K196" s="30">
        <x:f>IF($A196="","",IF(OR(D196="proposal",D196="negotiation"),Config!$B$8,0))</x:f>
      </x:c>
      <x:c r="L196" s="30">
        <x:f>IF($A196="","",IF(E196&gt;Config!$B$9,Config!$B$10,0))</x:f>
      </x:c>
      <x:c r="M196" s="30">
        <x:f>IF($A196="","",IF(G196&gt;=Config!$B$11,Config!$B$12,0))</x:f>
      </x:c>
      <x:c r="N196" s="30">
        <x:f>IF($A196="","",SUM(H196:M196))</x:f>
      </x:c>
      <x:c r="O196" s="30">
        <x:f>IF($A196="","",MAX(0,MIN(Config!$B$13,N196)))</x:f>
      </x:c>
      <x:c r="P196" s="12">
        <x:f>IF($A196="","",O196/Config!$B$13)</x:f>
      </x:c>
      <x:c r="Q196" s="13">
        <x:f>IF($A196="","",IF(O196&gt;=Config!$B$14,"A",IF(O196&gt;=Config!$B$15,"B","C")))</x:f>
      </x:c>
      <x:c r="R196" s="13">
        <x:f>IF($A196="","",IF(O196&gt;=Config!$B$14,"Low",IF(O196&gt;=Config!$B$15,"Medium","High")))</x:f>
      </x:c>
      <x:c r="S196" s="13">
        <x:f>IF($A196="","",IF(F196="No","Mapear decisor e agendar reunião",IF(E196&gt;Config!$B$9,"Realizar follow-up estruturado",IF(R196="High","Reavaliar estratégia do deal","Avançar para próxima etapa"))))</x:f>
      </x:c>
      <x:c r="T196" s="13">
        <x:f>IF($A196="","","Score " &amp; O196 &amp; "/100; rating " &amp; Q196 &amp; "; friction " &amp; R196 &amp; ".")</x:f>
      </x:c>
    </x:row>
    <x:row r="197" ht="34" customHeight="1">
      <x:c r="A197" s="9" t="n"/>
      <x:c r="B197" s="9" t="n"/>
      <x:c r="C197" s="29" t="n"/>
      <x:c r="D197" s="9" t="n"/>
      <x:c r="E197" s="9" t="n"/>
      <x:c r="F197" s="9" t="n"/>
      <x:c r="G197" s="9" t="n"/>
      <x:c r="H197" s="30">
        <x:f>IF($A197="","",Config!$B$4)</x:f>
      </x:c>
      <x:c r="I197" s="30">
        <x:f>IF($A197="","",IF(C197&gt;Config!$B$5,Config!$B$6,0))</x:f>
      </x:c>
      <x:c r="J197" s="30">
        <x:f>IF($A197="","",IF(F197="Yes",Config!$B$7,0))</x:f>
      </x:c>
      <x:c r="K197" s="30">
        <x:f>IF($A197="","",IF(OR(D197="proposal",D197="negotiation"),Config!$B$8,0))</x:f>
      </x:c>
      <x:c r="L197" s="30">
        <x:f>IF($A197="","",IF(E197&gt;Config!$B$9,Config!$B$10,0))</x:f>
      </x:c>
      <x:c r="M197" s="30">
        <x:f>IF($A197="","",IF(G197&gt;=Config!$B$11,Config!$B$12,0))</x:f>
      </x:c>
      <x:c r="N197" s="30">
        <x:f>IF($A197="","",SUM(H197:M197))</x:f>
      </x:c>
      <x:c r="O197" s="30">
        <x:f>IF($A197="","",MAX(0,MIN(Config!$B$13,N197)))</x:f>
      </x:c>
      <x:c r="P197" s="12">
        <x:f>IF($A197="","",O197/Config!$B$13)</x:f>
      </x:c>
      <x:c r="Q197" s="13">
        <x:f>IF($A197="","",IF(O197&gt;=Config!$B$14,"A",IF(O197&gt;=Config!$B$15,"B","C")))</x:f>
      </x:c>
      <x:c r="R197" s="13">
        <x:f>IF($A197="","",IF(O197&gt;=Config!$B$14,"Low",IF(O197&gt;=Config!$B$15,"Medium","High")))</x:f>
      </x:c>
      <x:c r="S197" s="13">
        <x:f>IF($A197="","",IF(F197="No","Mapear decisor e agendar reunião",IF(E197&gt;Config!$B$9,"Realizar follow-up estruturado",IF(R197="High","Reavaliar estratégia do deal","Avançar para próxima etapa"))))</x:f>
      </x:c>
      <x:c r="T197" s="13">
        <x:f>IF($A197="","","Score " &amp; O197 &amp; "/100; rating " &amp; Q197 &amp; "; friction " &amp; R197 &amp; ".")</x:f>
      </x:c>
    </x:row>
    <x:row r="198" ht="34" customHeight="1">
      <x:c r="A198" s="9" t="n"/>
      <x:c r="B198" s="9" t="n"/>
      <x:c r="C198" s="29" t="n"/>
      <x:c r="D198" s="9" t="n"/>
      <x:c r="E198" s="9" t="n"/>
      <x:c r="F198" s="9" t="n"/>
      <x:c r="G198" s="9" t="n"/>
      <x:c r="H198" s="30">
        <x:f>IF($A198="","",Config!$B$4)</x:f>
      </x:c>
      <x:c r="I198" s="30">
        <x:f>IF($A198="","",IF(C198&gt;Config!$B$5,Config!$B$6,0))</x:f>
      </x:c>
      <x:c r="J198" s="30">
        <x:f>IF($A198="","",IF(F198="Yes",Config!$B$7,0))</x:f>
      </x:c>
      <x:c r="K198" s="30">
        <x:f>IF($A198="","",IF(OR(D198="proposal",D198="negotiation"),Config!$B$8,0))</x:f>
      </x:c>
      <x:c r="L198" s="30">
        <x:f>IF($A198="","",IF(E198&gt;Config!$B$9,Config!$B$10,0))</x:f>
      </x:c>
      <x:c r="M198" s="30">
        <x:f>IF($A198="","",IF(G198&gt;=Config!$B$11,Config!$B$12,0))</x:f>
      </x:c>
      <x:c r="N198" s="30">
        <x:f>IF($A198="","",SUM(H198:M198))</x:f>
      </x:c>
      <x:c r="O198" s="30">
        <x:f>IF($A198="","",MAX(0,MIN(Config!$B$13,N198)))</x:f>
      </x:c>
      <x:c r="P198" s="12">
        <x:f>IF($A198="","",O198/Config!$B$13)</x:f>
      </x:c>
      <x:c r="Q198" s="13">
        <x:f>IF($A198="","",IF(O198&gt;=Config!$B$14,"A",IF(O198&gt;=Config!$B$15,"B","C")))</x:f>
      </x:c>
      <x:c r="R198" s="13">
        <x:f>IF($A198="","",IF(O198&gt;=Config!$B$14,"Low",IF(O198&gt;=Config!$B$15,"Medium","High")))</x:f>
      </x:c>
      <x:c r="S198" s="13">
        <x:f>IF($A198="","",IF(F198="No","Mapear decisor e agendar reunião",IF(E198&gt;Config!$B$9,"Realizar follow-up estruturado",IF(R198="High","Reavaliar estratégia do deal","Avançar para próxima etapa"))))</x:f>
      </x:c>
      <x:c r="T198" s="13">
        <x:f>IF($A198="","","Score " &amp; O198 &amp; "/100; rating " &amp; Q198 &amp; "; friction " &amp; R198 &amp; ".")</x:f>
      </x:c>
    </x:row>
    <x:row r="199" ht="34" customHeight="1">
      <x:c r="A199" s="9" t="n"/>
      <x:c r="B199" s="9" t="n"/>
      <x:c r="C199" s="29" t="n"/>
      <x:c r="D199" s="9" t="n"/>
      <x:c r="E199" s="9" t="n"/>
      <x:c r="F199" s="9" t="n"/>
      <x:c r="G199" s="9" t="n"/>
      <x:c r="H199" s="30">
        <x:f>IF($A199="","",Config!$B$4)</x:f>
      </x:c>
      <x:c r="I199" s="30">
        <x:f>IF($A199="","",IF(C199&gt;Config!$B$5,Config!$B$6,0))</x:f>
      </x:c>
      <x:c r="J199" s="30">
        <x:f>IF($A199="","",IF(F199="Yes",Config!$B$7,0))</x:f>
      </x:c>
      <x:c r="K199" s="30">
        <x:f>IF($A199="","",IF(OR(D199="proposal",D199="negotiation"),Config!$B$8,0))</x:f>
      </x:c>
      <x:c r="L199" s="30">
        <x:f>IF($A199="","",IF(E199&gt;Config!$B$9,Config!$B$10,0))</x:f>
      </x:c>
      <x:c r="M199" s="30">
        <x:f>IF($A199="","",IF(G199&gt;=Config!$B$11,Config!$B$12,0))</x:f>
      </x:c>
      <x:c r="N199" s="30">
        <x:f>IF($A199="","",SUM(H199:M199))</x:f>
      </x:c>
      <x:c r="O199" s="30">
        <x:f>IF($A199="","",MAX(0,MIN(Config!$B$13,N199)))</x:f>
      </x:c>
      <x:c r="P199" s="12">
        <x:f>IF($A199="","",O199/Config!$B$13)</x:f>
      </x:c>
      <x:c r="Q199" s="13">
        <x:f>IF($A199="","",IF(O199&gt;=Config!$B$14,"A",IF(O199&gt;=Config!$B$15,"B","C")))</x:f>
      </x:c>
      <x:c r="R199" s="13">
        <x:f>IF($A199="","",IF(O199&gt;=Config!$B$14,"Low",IF(O199&gt;=Config!$B$15,"Medium","High")))</x:f>
      </x:c>
      <x:c r="S199" s="13">
        <x:f>IF($A199="","",IF(F199="No","Mapear decisor e agendar reunião",IF(E199&gt;Config!$B$9,"Realizar follow-up estruturado",IF(R199="High","Reavaliar estratégia do deal","Avançar para próxima etapa"))))</x:f>
      </x:c>
      <x:c r="T199" s="13">
        <x:f>IF($A199="","","Score " &amp; O199 &amp; "/100; rating " &amp; Q199 &amp; "; friction " &amp; R199 &amp; ".")</x:f>
      </x:c>
    </x:row>
    <x:row r="200" ht="34" customHeight="1">
      <x:c r="A200" s="9" t="n"/>
      <x:c r="B200" s="9" t="n"/>
      <x:c r="C200" s="29" t="n"/>
      <x:c r="D200" s="9" t="n"/>
      <x:c r="E200" s="9" t="n"/>
      <x:c r="F200" s="9" t="n"/>
      <x:c r="G200" s="9" t="n"/>
      <x:c r="H200" s="30">
        <x:f>IF($A200="","",Config!$B$4)</x:f>
      </x:c>
      <x:c r="I200" s="30">
        <x:f>IF($A200="","",IF(C200&gt;Config!$B$5,Config!$B$6,0))</x:f>
      </x:c>
      <x:c r="J200" s="30">
        <x:f>IF($A200="","",IF(F200="Yes",Config!$B$7,0))</x:f>
      </x:c>
      <x:c r="K200" s="30">
        <x:f>IF($A200="","",IF(OR(D200="proposal",D200="negotiation"),Config!$B$8,0))</x:f>
      </x:c>
      <x:c r="L200" s="30">
        <x:f>IF($A200="","",IF(E200&gt;Config!$B$9,Config!$B$10,0))</x:f>
      </x:c>
      <x:c r="M200" s="30">
        <x:f>IF($A200="","",IF(G200&gt;=Config!$B$11,Config!$B$12,0))</x:f>
      </x:c>
      <x:c r="N200" s="30">
        <x:f>IF($A200="","",SUM(H200:M200))</x:f>
      </x:c>
      <x:c r="O200" s="30">
        <x:f>IF($A200="","",MAX(0,MIN(Config!$B$13,N200)))</x:f>
      </x:c>
      <x:c r="P200" s="12">
        <x:f>IF($A200="","",O200/Config!$B$13)</x:f>
      </x:c>
      <x:c r="Q200" s="13">
        <x:f>IF($A200="","",IF(O200&gt;=Config!$B$14,"A",IF(O200&gt;=Config!$B$15,"B","C")))</x:f>
      </x:c>
      <x:c r="R200" s="13">
        <x:f>IF($A200="","",IF(O200&gt;=Config!$B$14,"Low",IF(O200&gt;=Config!$B$15,"Medium","High")))</x:f>
      </x:c>
      <x:c r="S200" s="13">
        <x:f>IF($A200="","",IF(F200="No","Mapear decisor e agendar reunião",IF(E200&gt;Config!$B$9,"Realizar follow-up estruturado",IF(R200="High","Reavaliar estratégia do deal","Avançar para próxima etapa"))))</x:f>
      </x:c>
      <x:c r="T200" s="13">
        <x:f>IF($A200="","","Score " &amp; O200 &amp; "/100; rating " &amp; Q200 &amp; "; friction " &amp; R200 &amp; ".")</x:f>
      </x:c>
    </x:row>
  </x:sheetData>
  <x:mergeCells>
    <x:mergeCell ref="A1:T1"/>
    <x:mergeCell ref="A2:T2"/>
  </x:mergeCells>
  <x:conditionalFormatting sqref="O5:O200">
    <x:cfRule type="cellIs" dxfId="0" priority="1" operator="greaterThanOrEqual">
      <x:formula>75</x:formula>
    </x:cfRule>
    <x:cfRule type="cellIs" dxfId="1" priority="2" operator="between">
      <x:formula>55</x:formula>
      <x:formula>74.999</x:formula>
    </x:cfRule>
    <x:cfRule type="cellIs" dxfId="2" priority="3" operator="lessThan">
      <x:formula>55</x:formula>
    </x:cfRule>
  </x:conditionalFormatting>
  <x:conditionalFormatting sqref="R5:R200">
    <x:cfRule type="cellIs" dxfId="2" priority="4" operator="equal">
      <x:formula>"High"</x:formula>
    </x:cfRule>
    <x:cfRule type="cellIs" dxfId="1" priority="5" operator="equal">
      <x:formula>"Medium"</x:formula>
    </x:cfRule>
    <x:cfRule type="cellIs" dxfId="0" priority="6" operator="equal">
      <x:formula>"Low"</x:formula>
    </x:cfRule>
  </x:conditionalFormatting>
  <x:dataValidations count="2">
    <x:dataValidation type="list" allowBlank="1" showDropDown="0" showInputMessage="0" showErrorMessage="0" sqref="D5:D200">
      <x:formula1>"discovery,qualification,proposal,negotiation,closed_won,closed_lost"</x:formula1>
    </x:dataValidation>
    <x:dataValidation type="list" allowBlank="1" showDropDown="0" showInputMessage="0" showErrorMessage="0" sqref="F5:F200">
      <x:formula1>"Yes,No"</x:formula1>
    </x:dataValidation>
  </x:dataValidations>
  <x:pageMargins left="0.7" right="0.7" top="0.75" bottom="0.75" header="0.3" footer="0.3"/>
  <x:legacyDrawing xmlns:r="http://schemas.openxmlformats.org/officeDocument/2006/relationships" r:id="R5504b24b2eee435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" customWidth="1"/>
    <x:col min="3" max="3" width="56" customWidth="1"/>
  </x:cols>
  <x:sheetData>
    <x:row r="1">
      <x:c r="A1" s="14" t="inlineStr">
        <x:is>
          <x:t xml:space="preserve">Parâmetros e Regras do Scoring</x:t>
        </x:is>
      </x:c>
    </x:row>
    <x:row r="3">
      <x:c r="A3" s="15" t="inlineStr">
        <x:is>
          <x:t xml:space="preserve">Parâmetro</x:t>
        </x:is>
      </x:c>
      <x:c r="B3" s="15" t="inlineStr">
        <x:is>
          <x:t xml:space="preserve">Valor</x:t>
        </x:is>
      </x:c>
      <x:c r="C3" s="15" t="inlineStr">
        <x:is>
          <x:t xml:space="preserve">Explicação</x:t>
        </x:is>
      </x:c>
    </x:row>
    <x:row r="4" ht="28" customHeight="1">
      <x:c r="A4" s="16" t="inlineStr">
        <x:is>
          <x:t xml:space="preserve">Base score</x:t>
        </x:is>
      </x:c>
      <x:c r="B4" s="17" t="n">
        <x:v>50</x:v>
      </x:c>
      <x:c r="C4" s="18" t="inlineStr">
        <x:is>
          <x:t xml:space="preserve">Ponto de partida neutro para qualquer deal.</x:t>
        </x:is>
      </x:c>
    </x:row>
    <x:row r="5" ht="28" customHeight="1">
      <x:c r="A5" s="16" t="inlineStr">
        <x:is>
          <x:t xml:space="preserve">Value threshold</x:t>
        </x:is>
      </x:c>
      <x:c r="B5" s="17" t="n">
        <x:v>50000</x:v>
      </x:c>
      <x:c r="C5" s="18" t="inlineStr">
        <x:is>
          <x:t xml:space="preserve">Deals acima desse valor ganham pontos.</x:t>
        </x:is>
      </x:c>
    </x:row>
    <x:row r="6" ht="28" customHeight="1">
      <x:c r="A6" s="16" t="inlineStr">
        <x:is>
          <x:t xml:space="preserve">Value bonus</x:t>
        </x:is>
      </x:c>
      <x:c r="B6" s="17" t="n">
        <x:v>15</x:v>
      </x:c>
      <x:c r="C6" s="18" t="inlineStr">
        <x:is>
          <x:t xml:space="preserve">Bônus aplicado quando o deal_value supera o limite.</x:t>
        </x:is>
      </x:c>
    </x:row>
    <x:row r="7" ht="28" customHeight="1">
      <x:c r="A7" s="16" t="inlineStr">
        <x:is>
          <x:t xml:space="preserve">Decision maker bonus</x:t>
        </x:is>
      </x:c>
      <x:c r="B7" s="17" t="n">
        <x:v>15</x:v>
      </x:c>
      <x:c r="C7" s="18" t="inlineStr">
        <x:is>
          <x:t xml:space="preserve">Bônus quando há decisor envolvido.</x:t>
        </x:is>
      </x:c>
    </x:row>
    <x:row r="8" ht="28" customHeight="1">
      <x:c r="A8" s="16" t="inlineStr">
        <x:is>
          <x:t xml:space="preserve">Advanced stage bonus</x:t>
        </x:is>
      </x:c>
      <x:c r="B8" s="17" t="n">
        <x:v>10</x:v>
      </x:c>
      <x:c r="C8" s="18" t="inlineStr">
        <x:is>
          <x:t xml:space="preserve">Bônus para proposal ou negotiation.</x:t>
        </x:is>
      </x:c>
    </x:row>
    <x:row r="9" ht="28" customHeight="1">
      <x:c r="A9" s="16" t="inlineStr">
        <x:is>
          <x:t xml:space="preserve">Days threshold</x:t>
        </x:is>
      </x:c>
      <x:c r="B9" s="17" t="n">
        <x:v>20</x:v>
      </x:c>
      <x:c r="C9" s="18" t="inlineStr">
        <x:is>
          <x:t xml:space="preserve">Acima desse número de dias o deal perde pontos.</x:t>
        </x:is>
      </x:c>
    </x:row>
    <x:row r="10" ht="28" customHeight="1">
      <x:c r="A10" s="16" t="inlineStr">
        <x:is>
          <x:t xml:space="preserve">Time penalty</x:t>
        </x:is>
      </x:c>
      <x:c r="B10" s="31" t="n">
        <x:v>-15</x:v>
      </x:c>
      <x:c r="C10" s="18" t="inlineStr">
        <x:is>
          <x:t xml:space="preserve">Penalidade por tempo excessivo no estágio.</x:t>
        </x:is>
      </x:c>
    </x:row>
    <x:row r="11" ht="28" customHeight="1">
      <x:c r="A11" s="16" t="inlineStr">
        <x:is>
          <x:t xml:space="preserve">Competitors threshold</x:t>
        </x:is>
      </x:c>
      <x:c r="B11" s="17" t="n">
        <x:v>3</x:v>
      </x:c>
      <x:c r="C11" s="18" t="inlineStr">
        <x:is>
          <x:t xml:space="preserve">A partir desse número de concorrentes há penalidade.</x:t>
        </x:is>
      </x:c>
    </x:row>
    <x:row r="12" ht="28" customHeight="1">
      <x:c r="A12" s="16" t="inlineStr">
        <x:is>
          <x:t xml:space="preserve">Competition penalty</x:t>
        </x:is>
      </x:c>
      <x:c r="B12" s="31" t="n">
        <x:v>-10</x:v>
      </x:c>
      <x:c r="C12" s="18" t="inlineStr">
        <x:is>
          <x:t xml:space="preserve">Penalidade por concorrência elevada.</x:t>
        </x:is>
      </x:c>
    </x:row>
    <x:row r="13" ht="28" customHeight="1">
      <x:c r="A13" s="16" t="inlineStr">
        <x:is>
          <x:t xml:space="preserve">Score cap</x:t>
        </x:is>
      </x:c>
      <x:c r="B13" s="17" t="n">
        <x:v>100</x:v>
      </x:c>
      <x:c r="C13" s="18" t="inlineStr">
        <x:is>
          <x:t xml:space="preserve">Limite superior do score.</x:t>
        </x:is>
      </x:c>
    </x:row>
    <x:row r="14" ht="28" customHeight="1">
      <x:c r="A14" s="16" t="inlineStr">
        <x:is>
          <x:t xml:space="preserve">Rating A threshold</x:t>
        </x:is>
      </x:c>
      <x:c r="B14" s="17" t="n">
        <x:v>75</x:v>
      </x:c>
      <x:c r="C14" s="18" t="inlineStr">
        <x:is>
          <x:t xml:space="preserve">Score mínimo para rating A.</x:t>
        </x:is>
      </x:c>
    </x:row>
    <x:row r="15" ht="28" customHeight="1">
      <x:c r="A15" s="16" t="inlineStr">
        <x:is>
          <x:t xml:space="preserve">Rating B threshold</x:t>
        </x:is>
      </x:c>
      <x:c r="B15" s="17" t="n">
        <x:v>55</x:v>
      </x:c>
      <x:c r="C15" s="18" t="inlineStr">
        <x:is>
          <x:t xml:space="preserve">Score mínimo para rating B.</x:t>
        </x:is>
      </x:c>
    </x:row>
    <x:row r="18">
      <x:c r="A18" s="20" t="inlineStr">
        <x:is>
          <x:t xml:space="preserve">Observação</x:t>
        </x:is>
      </x:c>
      <x:c r="B18" s="18" t="inlineStr">
        <x:is>
          <x:t xml:space="preserve">A planilha implementa um baseline heurístico. Win Probability é uma proxy derivada do score, não uma probabilidade calibrada.</x:t>
        </x:is>
      </x:c>
    </x:row>
    <x:row r="19"/>
  </x:sheetData>
  <x:mergeCells>
    <x:mergeCell ref="A1:C1"/>
    <x:mergeCell ref="B18:C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4" t="inlineStr">
        <x:is>
          <x:t xml:space="preserve">Resumo Executivo do Pipeline</x:t>
        </x:is>
      </x:c>
    </x:row>
    <x:row r="3">
      <x:c r="A3" s="21" t="inlineStr">
        <x:is>
          <x:t xml:space="preserve">Total deals</x:t>
        </x:is>
      </x:c>
      <x:c r="B3" s="22">
        <x:f>COUNTA('Deals Scoring'!A5:A200)</x:f>
        <x:v>6</x:v>
      </x:c>
      <x:c r="C3" s="21" t="inlineStr">
        <x:is>
          <x:t xml:space="preserve">Score médio</x:t>
        </x:is>
      </x:c>
      <x:c r="D3" s="23">
        <x:f>AVERAGE('Deals Scoring'!O5:O200)</x:f>
        <x:v>61.666666666666664</x:v>
      </x:c>
      <x:c r="E3" s="21" t="inlineStr">
        <x:is>
          <x:t xml:space="preserve">Win probability média</x:t>
        </x:is>
      </x:c>
      <x:c r="F3" s="24">
        <x:f>AVERAGE('Deals Scoring'!P5:P200)</x:f>
        <x:v>0.6166666666666666</x:v>
      </x:c>
    </x:row>
    <x:row r="6">
      <x:c r="A6" s="21" t="inlineStr">
        <x:is>
          <x:t xml:space="preserve">Deals rating A</x:t>
        </x:is>
      </x:c>
      <x:c r="B6" s="22">
        <x:f>COUNTIF('Deals Scoring'!Q5:Q200,"A")</x:f>
        <x:v>2</x:v>
      </x:c>
      <x:c r="C6" s="21" t="inlineStr">
        <x:is>
          <x:t xml:space="preserve">Deals friction high</x:t>
        </x:is>
      </x:c>
      <x:c r="D6" s="22">
        <x:f>COUNTIF('Deals Scoring'!R5:R200,"High")</x:f>
        <x:v>3</x:v>
      </x:c>
    </x:row>
    <x:row r="10">
      <x:c r="A10" s="25" t="inlineStr">
        <x:is>
          <x:t xml:space="preserve">Distribuição por Rating</x:t>
        </x:is>
      </x:c>
      <x:c r="B10" s="25" t="inlineStr">
        <x:is>
          <x:t xml:space="preserve">Qtd</x:t>
        </x:is>
      </x:c>
    </x:row>
    <x:row r="11">
      <x:c r="A11" t="inlineStr">
        <x:is>
          <x:t xml:space="preserve">A</x:t>
        </x:is>
      </x:c>
      <x:c r="B11">
        <x:f>COUNTIF('Deals Scoring'!Q5:Q200,"A")</x:f>
        <x:v>2</x:v>
      </x:c>
    </x:row>
    <x:row r="12">
      <x:c r="A12" t="inlineStr">
        <x:is>
          <x:t xml:space="preserve">B</x:t>
        </x:is>
      </x:c>
      <x:c r="B12">
        <x:f>COUNTIF('Deals Scoring'!Q5:Q200,"B")</x:f>
        <x:v>1</x:v>
      </x:c>
    </x:row>
    <x:row r="13">
      <x:c r="A13" t="inlineStr">
        <x:is>
          <x:t xml:space="preserve">C</x:t>
        </x:is>
      </x:c>
      <x:c r="B13">
        <x:f>COUNTIF('Deals Scoring'!Q5:Q200,"C")</x:f>
        <x:v>3</x:v>
      </x:c>
    </x:row>
    <x:row r="16">
      <x:c r="A16" s="25" t="inlineStr">
        <x:is>
          <x:t xml:space="preserve">Leitura rápida</x:t>
        </x:is>
      </x:c>
    </x:row>
    <x:row r="17">
      <x:c r="A17" s="26" t="inlineStr">
        <x:is>
          <x:t xml:space="preserve">• Rating A: deals mais promissores.</x:t>
        </x:is>
      </x:c>
    </x:row>
    <x:row r="18">
      <x:c r="A18" s="26" t="inlineStr">
        <x:is>
          <x:t xml:space="preserve">• Friction High: deals travados ou com maior risco operacional.</x:t>
        </x:is>
      </x:c>
    </x:row>
    <x:row r="19">
      <x:c r="A19" s="26" t="inlineStr">
        <x:is>
          <x:t xml:space="preserve">• Use a aba 'Config' para ajustar pesos e thresholds.</x:t>
        </x:is>
      </x:c>
    </x:row>
    <x:row r="20">
      <x:c r="A20" s="26" t="inlineStr">
        <x:is>
          <x:t xml:space="preserve">• A aba 'Deals Scoring' funciona como simulador manual do endpoint /score.</x:t>
        </x:is>
      </x:c>
    </x:row>
  </x:sheetData>
  <x:mergeCells>
    <x:mergeCell ref="A19:F19"/>
    <x:mergeCell ref="A1:F1"/>
    <x:mergeCell ref="A17:F17"/>
    <x:mergeCell ref="A18:F18"/>
    <x:mergeCell ref="A20:F20"/>
  </x:mergeCells>
  <x:pageMargins left="0.7" right="0.7" top="0.75" bottom="0.75" header="0.3" footer="0.3"/>
  <x:drawing xmlns:r="http://schemas.openxmlformats.org/officeDocument/2006/relationships" r:id="R7e97de0eaa584a70"/>
</x:worksheet>
</file>